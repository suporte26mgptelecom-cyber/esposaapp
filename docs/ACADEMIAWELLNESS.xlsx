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da" sheetId="1" r:id="rId5"/>
    <sheet state="visible" name="S1 A1" sheetId="2" r:id="rId6"/>
    <sheet state="visible" name="S1 A2" sheetId="3" r:id="rId7"/>
    <sheet state="visible" name="S1 A3" sheetId="4" r:id="rId8"/>
    <sheet state="visible" name="S2 A1" sheetId="5" r:id="rId9"/>
    <sheet state="visible" name="S2 A2" sheetId="6" r:id="rId10"/>
    <sheet state="visible" name="S2 A3" sheetId="7" r:id="rId11"/>
    <sheet state="visible" name="S3 A1" sheetId="8" r:id="rId12"/>
    <sheet state="visible" name="S3 A2" sheetId="9" r:id="rId13"/>
    <sheet state="visible" name="S3 A3" sheetId="10" r:id="rId14"/>
    <sheet state="visible" name="S4 A1" sheetId="11" r:id="rId15"/>
    <sheet state="visible" name="S4 A2" sheetId="12" r:id="rId16"/>
    <sheet state="visible" name="S4 A3" sheetId="13" r:id="rId17"/>
    <sheet state="visible" name="S5 A1" sheetId="14" r:id="rId18"/>
    <sheet state="visible" name="S5 A2" sheetId="15" r:id="rId19"/>
    <sheet state="visible" name="S5 A3" sheetId="16" r:id="rId20"/>
    <sheet state="visible" name="S6 A1" sheetId="17" r:id="rId21"/>
    <sheet state="visible" name="S6 A2" sheetId="18" r:id="rId22"/>
    <sheet state="visible" name="S6 A3" sheetId="19" r:id="rId23"/>
    <sheet state="visible" name="S7 A1" sheetId="20" r:id="rId24"/>
    <sheet state="visible" name="S7 A2" sheetId="21" r:id="rId25"/>
    <sheet state="visible" name="S7 A3" sheetId="22" r:id="rId26"/>
    <sheet state="visible" name="S8 A1" sheetId="23" r:id="rId27"/>
    <sheet state="visible" name="S8 A2" sheetId="24" r:id="rId28"/>
    <sheet state="visible" name="S8 A3" sheetId="25" r:id="rId29"/>
  </sheets>
  <definedNames/>
  <calcPr/>
</workbook>
</file>

<file path=xl/sharedStrings.xml><?xml version="1.0" encoding="utf-8"?>
<sst xmlns="http://schemas.openxmlformats.org/spreadsheetml/2006/main" count="3123" uniqueCount="166">
  <si>
    <t>WELLNESS — 3 DIAS — 8 SEMANAS</t>
  </si>
  <si>
    <t>Segunda, quarta e sexta. Inferiores I → II → III e superiores I → II seguem sua própria sequência entre as semanas.</t>
  </si>
  <si>
    <t>Semana</t>
  </si>
  <si>
    <t>Sessão</t>
  </si>
  <si>
    <t>Dia</t>
  </si>
  <si>
    <t>Treino</t>
  </si>
  <si>
    <t>PDF (página)</t>
  </si>
  <si>
    <t>Abrir</t>
  </si>
  <si>
    <t>Concluído</t>
  </si>
  <si>
    <t>A1</t>
  </si>
  <si>
    <t>Segunda</t>
  </si>
  <si>
    <t>Pernas/glúteos I</t>
  </si>
  <si>
    <t>A2</t>
  </si>
  <si>
    <t>Quarta</t>
  </si>
  <si>
    <t>Superior I</t>
  </si>
  <si>
    <t>A3</t>
  </si>
  <si>
    <t>Sexta</t>
  </si>
  <si>
    <t>Pernas/glúteos II</t>
  </si>
  <si>
    <t>Superior II</t>
  </si>
  <si>
    <t>Pernas/glúteos III</t>
  </si>
  <si>
    <t>COMO USAR</t>
  </si>
  <si>
    <t>As abas S1 A1, S1 A2 e S1 A3 são os treinos da semana 1. As demais seguem até S8 A3. Cada sessão conserva seu registro.</t>
  </si>
  <si>
    <t>Preencha o campo branco abaixo de Carga de Trabalho e a coluna Reps. Os campos amarelos à direita configuram cada equipamento.</t>
  </si>
  <si>
    <t>A carga calculada usa a mesma unidade da carga de trabalho. Por halter: informe um halter. Por lado: informe um lado. Total com barra: inclua a barra.</t>
  </si>
  <si>
    <t>Visor/pilha: anote o valor indicado. Total de anilhas: some as anilhas carregadas. Não há divisão automática por lados nem desconto de barra.</t>
  </si>
  <si>
    <t>O incremento é opcional e deve refletir a menor variação disponível no registro escolhido. O arredondamento é para baixo, por série.</t>
  </si>
  <si>
    <t>Feeder sets: 3 FS = 50%, 70%, 85%; 2 FS = 70%, 85%; 1 FS = 85% da WS. O PDF permite 85–90% no último FS: adotados 85%.</t>
  </si>
  <si>
    <t>Top set = 110% da WS. Exceção: terra sumô nas semanas 3–4 = 108%. Back off = 75% da WS, inclusive quando vem após top set.</t>
  </si>
  <si>
    <t>Aquecimento = 30% da WS como na PURGE; esse percentual não é informado no PDF. Descanso fica em branco para definição individual.</t>
  </si>
  <si>
    <t>Não há aumento automático de carga entre sessões: registre a evolução de cargas e repetições, conforme descrito no PDF.</t>
  </si>
  <si>
    <t>A frequência foi adaptada de 5 para 3 sessões. Foram mantidos os exercícios e as séries de cada sessão escolhida, sem juntar sessões.</t>
  </si>
  <si>
    <t>As fases 1–2, 3–4, 5–6 e 7–8 seguem as semanas do calendário. Em 8 semanas são 24 sessões; a frequência e o volume diferem do plano original.</t>
  </si>
  <si>
    <t>Cardio do PDF (opcional na agenda): dias de musculação, 40 min moderados ou HIIT de 20 min; off ativo, 50 min ou HIIT de 25 min.</t>
  </si>
  <si>
    <t>Fontes: PDF Wellness — Saraiva Team e PURGE. Adaptação: hack, leg press unilateral, flexora sentada e elevação pélvica; step up retirado.</t>
  </si>
  <si>
    <t>WELLNESS  •  SEMANA 1  •  A1</t>
  </si>
  <si>
    <t>Parâmetros editáveis</t>
  </si>
  <si>
    <t>Segunda-feira — Pernas e glúteos I</t>
  </si>
  <si>
    <t>Configure o registro e o incremento conforme o equipamento. Nenhuma carga inicial é presumida.</t>
  </si>
  <si>
    <t>Preencha a carga de trabalho e as repetições realizadas. Cargas em kg.</t>
  </si>
  <si>
    <t>Exercício</t>
  </si>
  <si>
    <t>Série</t>
  </si>
  <si>
    <t>Cargas</t>
  </si>
  <si>
    <t>Rep Range</t>
  </si>
  <si>
    <t>Reps</t>
  </si>
  <si>
    <t>Vídeo</t>
  </si>
  <si>
    <t>Cadeira abdutora</t>
  </si>
  <si>
    <t>Aquecimento</t>
  </si>
  <si>
    <t>10 - 15</t>
  </si>
  <si>
    <t>Feeder Set 1</t>
  </si>
  <si>
    <t>3 - 5</t>
  </si>
  <si>
    <t>Equipamento</t>
  </si>
  <si>
    <t>Máquina</t>
  </si>
  <si>
    <t>Carga de Trabalho</t>
  </si>
  <si>
    <t>Feeder Set 2</t>
  </si>
  <si>
    <t>Como registrar</t>
  </si>
  <si>
    <t>Visor / pilha</t>
  </si>
  <si>
    <t>Working Set 1</t>
  </si>
  <si>
    <t>8 - 12</t>
  </si>
  <si>
    <t>Incremento (kg)</t>
  </si>
  <si>
    <t>Descanso (s)</t>
  </si>
  <si>
    <t>Working Set 2</t>
  </si>
  <si>
    <t>Incremento vazio: cálculo exato. Preenchido: arredonda para baixo.</t>
  </si>
  <si>
    <t>Working Set 3</t>
  </si>
  <si>
    <t>PDF, p. 18. Descanso não especificado no original.</t>
  </si>
  <si>
    <t>Tronco levemente inclinado para frente. Aquecimento: 30% da WS, referência da PURGE; o PDF não define percentual.</t>
  </si>
  <si>
    <t>Cadeira flexora</t>
  </si>
  <si>
    <t>8</t>
  </si>
  <si>
    <t>Hack squat</t>
  </si>
  <si>
    <t>Feeder Set 3</t>
  </si>
  <si>
    <t>Total de anilhas</t>
  </si>
  <si>
    <t>Exercício adaptado. Séries e repetições do exercício substituído.</t>
  </si>
  <si>
    <t>Hack squat. Ajuste a carga neste equipamento; não copie os quilos do agachamento anterior.</t>
  </si>
  <si>
    <t>Cadeira extensora</t>
  </si>
  <si>
    <t>Top Set</t>
  </si>
  <si>
    <t>6 - 8</t>
  </si>
  <si>
    <t>Leg press unilateral</t>
  </si>
  <si>
    <t>Por lado</t>
  </si>
  <si>
    <t>Séries e repetições por perna. Registre a carga usada no aparelho para executar com uma perna.</t>
  </si>
  <si>
    <t>Elevação pélvica no smith, máquina ou livre</t>
  </si>
  <si>
    <t>Barra / smith</t>
  </si>
  <si>
    <t>Total com barra</t>
  </si>
  <si>
    <t>Elevação pélvica. Use band nos joelhos conforme o PDF. Mantenha o mesmo equipamento ao comparar cargas.</t>
  </si>
  <si>
    <t>Treino concluído</t>
  </si>
  <si>
    <t>Não</t>
  </si>
  <si>
    <t>WELLNESS  •  SEMANA 1  •  A2</t>
  </si>
  <si>
    <t>Quarta-feira — Superiores I</t>
  </si>
  <si>
    <t>Supino inclinado na máquina</t>
  </si>
  <si>
    <t>3</t>
  </si>
  <si>
    <t>PDF, p. 19. Descanso não especificado no original.</t>
  </si>
  <si>
    <t>Back Off</t>
  </si>
  <si>
    <t>Alternativa do PDF: halteres no banco em 30º. Aquecimento: 30% da WS, referência da PURGE; o PDF não define percentual.</t>
  </si>
  <si>
    <t>Elevação lateral com halteres sentada</t>
  </si>
  <si>
    <t>Halter</t>
  </si>
  <si>
    <t>Por halter</t>
  </si>
  <si>
    <t>Braços esticados, levemente à frente do tronco.</t>
  </si>
  <si>
    <t>Remada articulada unilateral</t>
  </si>
  <si>
    <t>Polia</t>
  </si>
  <si>
    <t>Séries e reps por lado.</t>
  </si>
  <si>
    <t>Puxada alta com pegada neutra ou triângulo</t>
  </si>
  <si>
    <t>Escolha pegada neutra ou triângulo.</t>
  </si>
  <si>
    <t>Desenvolvimento na máquina articulada</t>
  </si>
  <si>
    <t>Alternativa do PDF: smith com banco em 75º.</t>
  </si>
  <si>
    <t>Tríceps na polia alta com barra reta ou V</t>
  </si>
  <si>
    <t>WELLNESS  •  SEMANA 1  •  A3</t>
  </si>
  <si>
    <t>Sexta-feira — Pernas e glúteos II</t>
  </si>
  <si>
    <t>PDF, p. 20. Descanso não especificado no original.</t>
  </si>
  <si>
    <t>Use band nos joelhos. Escolha uma das opções do PDF.</t>
  </si>
  <si>
    <t>Leg press 45º</t>
  </si>
  <si>
    <t>Stiff unilateral</t>
  </si>
  <si>
    <t>Um pé de apoio no chão. Séries e reps por perna.</t>
  </si>
  <si>
    <t>WELLNESS  •  SEMANA 2  •  A1</t>
  </si>
  <si>
    <t>Segunda-feira — Superiores II</t>
  </si>
  <si>
    <t>Elevação lateral com halteres sentada (90º)</t>
  </si>
  <si>
    <t>PDF, p. 21. Descanso não especificado no original.</t>
  </si>
  <si>
    <t>Banco em 90º. Aquecimento: 30% da WS, referência da PURGE; o PDF não define percentual.</t>
  </si>
  <si>
    <t>Remada baixa na polia com barra reta</t>
  </si>
  <si>
    <t>Pegada pronada.</t>
  </si>
  <si>
    <t>Elevação lateral na polia</t>
  </si>
  <si>
    <t>Braços esticados, levemente à frente do tronco. Séries e reps por lado.</t>
  </si>
  <si>
    <t>WELLNESS  •  SEMANA 2  •  A2</t>
  </si>
  <si>
    <t>Quarta-feira — Pernas e glúteos III</t>
  </si>
  <si>
    <t>PDF, p. 23. Descanso não especificado no original.</t>
  </si>
  <si>
    <t>Cadeira flexora sentada. Ajuste banco e apoios do aparelho.</t>
  </si>
  <si>
    <t>Terra sumô</t>
  </si>
  <si>
    <t>5</t>
  </si>
  <si>
    <t>Abdução de quadril na polia</t>
  </si>
  <si>
    <t>Séries e reps por perna.</t>
  </si>
  <si>
    <t>WELLNESS  •  SEMANA 2  •  A3</t>
  </si>
  <si>
    <t>Sexta-feira — Superiores I</t>
  </si>
  <si>
    <t>WELLNESS  •  SEMANA 3  •  A1</t>
  </si>
  <si>
    <t>PDF, p. 26. Descanso não especificado no original.</t>
  </si>
  <si>
    <t>WELLNESS  •  SEMANA 3  •  A2</t>
  </si>
  <si>
    <t>Quarta-feira — Superiores II</t>
  </si>
  <si>
    <t>PDF, p. 29. Descanso não especificado no original.</t>
  </si>
  <si>
    <t>WELLNESS  •  SEMANA 3  •  A3</t>
  </si>
  <si>
    <t>PDF, p. 28. Descanso não especificado no original.</t>
  </si>
  <si>
    <t>WELLNESS  •  SEMANA 4  •  A1</t>
  </si>
  <si>
    <t>Segunda-feira — Superiores I</t>
  </si>
  <si>
    <t>PDF, p. 27. Descanso não especificado no original.</t>
  </si>
  <si>
    <t>WELLNESS  •  SEMANA 4  •  A2</t>
  </si>
  <si>
    <t>PDF, p. 31. Descanso não especificado no original.</t>
  </si>
  <si>
    <t>WELLNESS  •  SEMANA 4  •  A3</t>
  </si>
  <si>
    <t>Sexta-feira — Superiores II</t>
  </si>
  <si>
    <t>WELLNESS  •  SEMANA 5  •  A1</t>
  </si>
  <si>
    <t>PDF, p. 34. Descanso não especificado no original.</t>
  </si>
  <si>
    <t>WELLNESS  •  SEMANA 5  •  A2</t>
  </si>
  <si>
    <t>PDF, p. 35. Descanso não especificado no original.</t>
  </si>
  <si>
    <t>WELLNESS  •  SEMANA 5  •  A3</t>
  </si>
  <si>
    <t>PDF, p. 36. Descanso não especificado no original.</t>
  </si>
  <si>
    <t>WELLNESS  •  SEMANA 6  •  A1</t>
  </si>
  <si>
    <t>PDF, p. 37. Descanso não especificado no original.</t>
  </si>
  <si>
    <t>WELLNESS  •  SEMANA 6  •  A2</t>
  </si>
  <si>
    <t>PDF, p. 39. Descanso não especificado no original.</t>
  </si>
  <si>
    <t>5 - 8</t>
  </si>
  <si>
    <t>WELLNESS  •  SEMANA 6  •  A3</t>
  </si>
  <si>
    <t>WELLNESS  •  SEMANA 7  •  A1</t>
  </si>
  <si>
    <t>PDF, p. 42. Descanso não especificado no original.</t>
  </si>
  <si>
    <t>WELLNESS  •  SEMANA 7  •  A2</t>
  </si>
  <si>
    <t>PDF, p. 45. Descanso não especificado no original.</t>
  </si>
  <si>
    <t>WELLNESS  •  SEMANA 7  •  A3</t>
  </si>
  <si>
    <t>PDF, p. 44. Descanso não especificado no original.</t>
  </si>
  <si>
    <t>WELLNESS  •  SEMANA 8  •  A1</t>
  </si>
  <si>
    <t>PDF, p. 43. Descanso não especificado no original.</t>
  </si>
  <si>
    <t>WELLNESS  •  SEMANA 8  •  A2</t>
  </si>
  <si>
    <t>PDF, p. 47. Descanso não especificado no original.</t>
  </si>
  <si>
    <t>WELLNESS  •  SEMANA 8  •  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</si>
</sst>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"/>
  </numFmts>
  <fonts count="20">
    <font>
      <sz val="10.0"/>
      <color rgb="FF000000"/>
      <name val="Arial"/>
      <scheme val="minor"/>
    </font>
    <font>
      <b/>
      <sz val="16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2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b/>
      <sz val="16.0"/>
      <color rgb="FF434343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1.0"/>
      <color rgb="FFFFFFFF"/>
      <name val="Arial"/>
    </font>
    <font>
      <u/>
      <sz val="11.0"/>
      <color rgb="FF000000"/>
      <name val="Arial"/>
    </font>
    <font>
      <b/>
      <sz val="10.0"/>
      <color theme="1"/>
      <name val="Arial"/>
    </font>
    <font/>
    <font>
      <sz val="11.0"/>
      <color rgb="FF000000"/>
      <name val="Arial"/>
    </font>
    <font>
      <b/>
      <sz val="16.0"/>
      <color rgb="FF000000"/>
      <name val="Arial"/>
    </font>
    <font>
      <sz val="9.0"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2" fillId="2" fontId="3" numFmtId="0" xfId="0" applyAlignment="1" applyBorder="1" applyFill="1" applyFont="1">
      <alignment horizontal="center" shrinkToFit="0" vertical="center" wrapText="0"/>
    </xf>
    <xf borderId="3" fillId="2" fontId="3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shrinkToFit="0" vertical="center" wrapText="0"/>
    </xf>
    <xf borderId="2" fillId="2" fontId="12" numFmtId="164" xfId="0" applyAlignment="1" applyBorder="1" applyFill="1" applyFont="1" applyNumberForma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0"/>
    </xf>
    <xf borderId="2" fillId="2" fontId="12" numFmtId="1" xfId="0" applyAlignment="1" applyBorder="1" applyFill="1" applyFont="1" applyNumberFormat="1">
      <alignment horizontal="center" shrinkToFit="0" vertical="center" wrapText="0"/>
    </xf>
    <xf borderId="3" fillId="4" fontId="13" numFmtId="0" xfId="0" applyAlignment="1" applyBorder="1" applyFill="1" applyFont="1">
      <alignment horizontal="center" shrinkToFit="0" vertical="center" wrapText="0"/>
    </xf>
    <xf borderId="4" fillId="4" fontId="14" numFmtId="0" xfId="0" applyAlignment="1" applyBorder="1" applyFill="1" applyFont="1">
      <alignment shrinkToFit="0" vertical="center" wrapText="1"/>
    </xf>
    <xf borderId="5" fillId="0" fontId="15" numFmtId="0" xfId="0" applyBorder="1" applyFont="1"/>
    <xf borderId="6" fillId="0" fontId="15" numFmtId="0" xfId="0" applyBorder="1" applyFont="1"/>
    <xf borderId="7" fillId="0" fontId="15" numFmtId="0" xfId="0" applyBorder="1" applyFont="1"/>
    <xf borderId="8" fillId="0" fontId="15" numFmtId="0" xfId="0" applyBorder="1" applyFont="1"/>
    <xf borderId="4" fillId="5" fontId="16" numFmtId="0" xfId="0" applyAlignment="1" applyBorder="1" applyFill="1" applyFont="1">
      <alignment shrinkToFit="0" vertical="center" wrapText="0"/>
    </xf>
    <xf borderId="3" fillId="6" fontId="17" numFmtId="164" xfId="0" applyAlignment="1" applyBorder="1" applyFill="1" applyFont="1" applyNumberFormat="1">
      <alignment horizontal="center" readingOrder="0" shrinkToFit="0" vertical="center" wrapText="0"/>
    </xf>
    <xf borderId="1" fillId="5" fontId="16" numFmtId="0" xfId="0" applyAlignment="1" applyBorder="1" applyFill="1" applyFont="1">
      <alignment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0"/>
    </xf>
    <xf borderId="3" fillId="6" fontId="17" numFmtId="164" xfId="0" applyAlignment="1" applyBorder="1" applyFill="1" applyFont="1" applyNumberFormat="1">
      <alignment horizontal="center" shrinkToFit="0" vertical="center" wrapText="0"/>
    </xf>
    <xf borderId="4" fillId="4" fontId="11" numFmtId="0" xfId="0" applyAlignment="1" applyBorder="1" applyFill="1" applyFont="1">
      <alignment shrinkToFit="0" vertical="center" wrapText="0"/>
    </xf>
    <xf borderId="4" fillId="5" fontId="16" numFmtId="0" xfId="0" applyAlignment="1" applyBorder="1" applyFill="1" applyFont="1">
      <alignment readingOrder="0" shrinkToFit="0" vertical="center" wrapText="0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34343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2.0"/>
    <col customWidth="1" min="2" max="2" width="10.0"/>
    <col customWidth="1" min="3" max="3" width="12.0"/>
    <col customWidth="1" min="4" max="4" width="18.0"/>
    <col customWidth="1" min="5" max="5" width="23.0"/>
    <col customWidth="1" min="6" max="6" width="14.0"/>
    <col customWidth="1" min="7" max="7" width="10.0"/>
    <col customWidth="1" min="8" max="8" width="15.0"/>
    <col customWidth="1" min="9" max="26" width="8.63"/>
  </cols>
  <sheetData>
    <row r="2" ht="22.5" customHeight="1">
      <c r="B2" s="1" t="s">
        <v>0</v>
      </c>
    </row>
    <row r="3" ht="22.5" customHeight="1"/>
    <row r="4" ht="22.5" customHeight="1">
      <c r="B4" s="2" t="s">
        <v>1</v>
      </c>
    </row>
    <row r="5" ht="22.5" customHeight="1"/>
    <row r="6" ht="22.5" customHeight="1">
      <c r="B6" s="3"/>
      <c r="C6" s="3"/>
      <c r="D6" s="3"/>
      <c r="E6" s="3"/>
      <c r="F6" s="3"/>
      <c r="G6" s="3"/>
      <c r="H6" s="3"/>
    </row>
    <row r="7" ht="22.5" customHeight="1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</row>
    <row r="8" ht="22.5" customHeight="1">
      <c r="B8" s="5">
        <v>1.0</v>
      </c>
      <c r="C8" s="5" t="s">
        <v>9</v>
      </c>
      <c r="D8" s="5" t="s">
        <v>10</v>
      </c>
      <c r="E8" s="5" t="s">
        <v>11</v>
      </c>
      <c r="F8" s="5">
        <v>18.0</v>
      </c>
      <c r="G8" s="6" t="str">
        <f>HYPERLINK("#'S1 A1'!B1","Abrir")</f>
        <v>Abrir</v>
      </c>
      <c r="H8" s="5" t="str">
        <f>'S1 A1'!F54</f>
        <v>Não</v>
      </c>
    </row>
    <row r="9" ht="22.5" customHeight="1">
      <c r="B9" s="5">
        <v>1.0</v>
      </c>
      <c r="C9" s="5" t="s">
        <v>12</v>
      </c>
      <c r="D9" s="5" t="s">
        <v>13</v>
      </c>
      <c r="E9" s="5" t="s">
        <v>14</v>
      </c>
      <c r="F9" s="5">
        <v>19.0</v>
      </c>
      <c r="G9" s="6" t="str">
        <f>HYPERLINK("#'S1 A2'!B1","Abrir")</f>
        <v>Abrir</v>
      </c>
      <c r="H9" s="5" t="str">
        <f>'S1 A2'!F55</f>
        <v>Não</v>
      </c>
    </row>
    <row r="10" ht="22.5" customHeight="1">
      <c r="B10" s="5">
        <v>1.0</v>
      </c>
      <c r="C10" s="5" t="s">
        <v>15</v>
      </c>
      <c r="D10" s="5" t="s">
        <v>16</v>
      </c>
      <c r="E10" s="5" t="s">
        <v>17</v>
      </c>
      <c r="F10" s="5">
        <v>20.0</v>
      </c>
      <c r="G10" s="6" t="str">
        <f>HYPERLINK("#'S1 A3'!B1","Abrir")</f>
        <v>Abrir</v>
      </c>
      <c r="H10" s="5" t="str">
        <f>'S1 A3'!F46</f>
        <v>Não</v>
      </c>
    </row>
    <row r="11" ht="22.5" customHeight="1">
      <c r="B11" s="3">
        <v>2.0</v>
      </c>
      <c r="C11" s="3" t="s">
        <v>9</v>
      </c>
      <c r="D11" s="3" t="s">
        <v>10</v>
      </c>
      <c r="E11" s="3" t="s">
        <v>18</v>
      </c>
      <c r="F11" s="3">
        <v>21.0</v>
      </c>
      <c r="G11" s="7" t="str">
        <f>HYPERLINK("#'S2 A1'!B1","Abrir")</f>
        <v>Abrir</v>
      </c>
      <c r="H11" s="3" t="str">
        <f>'S2 A1'!F46</f>
        <v>Não</v>
      </c>
    </row>
    <row r="12" ht="22.5" customHeight="1">
      <c r="B12" s="3">
        <v>2.0</v>
      </c>
      <c r="C12" s="3" t="s">
        <v>12</v>
      </c>
      <c r="D12" s="3" t="s">
        <v>13</v>
      </c>
      <c r="E12" s="3" t="s">
        <v>19</v>
      </c>
      <c r="F12" s="3">
        <v>23.0</v>
      </c>
      <c r="G12" s="7" t="str">
        <f>HYPERLINK("#'S2 A2'!B1","Abrir")</f>
        <v>Abrir</v>
      </c>
      <c r="H12" s="3" t="str">
        <f>'S2 A2'!F54</f>
        <v>Não</v>
      </c>
    </row>
    <row r="13" ht="22.5" customHeight="1">
      <c r="B13" s="3">
        <v>2.0</v>
      </c>
      <c r="C13" s="3" t="s">
        <v>15</v>
      </c>
      <c r="D13" s="3" t="s">
        <v>16</v>
      </c>
      <c r="E13" s="3" t="s">
        <v>14</v>
      </c>
      <c r="F13" s="3">
        <v>19.0</v>
      </c>
      <c r="G13" s="7" t="str">
        <f>HYPERLINK("#'S2 A3'!B1","Abrir")</f>
        <v>Abrir</v>
      </c>
      <c r="H13" s="3" t="str">
        <f>'S2 A3'!F55</f>
        <v>Não</v>
      </c>
    </row>
    <row r="14" ht="22.5" customHeight="1">
      <c r="B14" s="5">
        <v>3.0</v>
      </c>
      <c r="C14" s="5" t="s">
        <v>9</v>
      </c>
      <c r="D14" s="5" t="s">
        <v>10</v>
      </c>
      <c r="E14" s="5" t="s">
        <v>11</v>
      </c>
      <c r="F14" s="5">
        <v>26.0</v>
      </c>
      <c r="G14" s="6" t="str">
        <f>HYPERLINK("#'S3 A1'!B1","Abrir")</f>
        <v>Abrir</v>
      </c>
      <c r="H14" s="5" t="str">
        <f>'S3 A1'!F54</f>
        <v>Não</v>
      </c>
    </row>
    <row r="15" ht="22.5" customHeight="1">
      <c r="B15" s="5">
        <v>3.0</v>
      </c>
      <c r="C15" s="5" t="s">
        <v>12</v>
      </c>
      <c r="D15" s="5" t="s">
        <v>13</v>
      </c>
      <c r="E15" s="5" t="s">
        <v>18</v>
      </c>
      <c r="F15" s="5">
        <v>29.0</v>
      </c>
      <c r="G15" s="6" t="str">
        <f>HYPERLINK("#'S3 A2'!B1","Abrir")</f>
        <v>Abrir</v>
      </c>
      <c r="H15" s="5" t="str">
        <f>'S3 A2'!F46</f>
        <v>Não</v>
      </c>
    </row>
    <row r="16" ht="22.5" customHeight="1">
      <c r="B16" s="5">
        <v>3.0</v>
      </c>
      <c r="C16" s="5" t="s">
        <v>15</v>
      </c>
      <c r="D16" s="5" t="s">
        <v>16</v>
      </c>
      <c r="E16" s="5" t="s">
        <v>17</v>
      </c>
      <c r="F16" s="5">
        <v>28.0</v>
      </c>
      <c r="G16" s="6" t="str">
        <f>HYPERLINK("#'S3 A3'!B1","Abrir")</f>
        <v>Abrir</v>
      </c>
      <c r="H16" s="5" t="str">
        <f>'S3 A3'!F46</f>
        <v>Não</v>
      </c>
    </row>
    <row r="17" ht="22.5" customHeight="1">
      <c r="B17" s="3">
        <v>4.0</v>
      </c>
      <c r="C17" s="3" t="s">
        <v>9</v>
      </c>
      <c r="D17" s="3" t="s">
        <v>10</v>
      </c>
      <c r="E17" s="3" t="s">
        <v>14</v>
      </c>
      <c r="F17" s="3">
        <v>27.0</v>
      </c>
      <c r="G17" s="7" t="str">
        <f>HYPERLINK("#'S4 A1'!B1","Abrir")</f>
        <v>Abrir</v>
      </c>
      <c r="H17" s="3" t="str">
        <f>'S4 A1'!F55</f>
        <v>Não</v>
      </c>
    </row>
    <row r="18" ht="22.5" customHeight="1">
      <c r="B18" s="3">
        <v>4.0</v>
      </c>
      <c r="C18" s="3" t="s">
        <v>12</v>
      </c>
      <c r="D18" s="3" t="s">
        <v>13</v>
      </c>
      <c r="E18" s="3" t="s">
        <v>19</v>
      </c>
      <c r="F18" s="3">
        <v>31.0</v>
      </c>
      <c r="G18" s="7" t="str">
        <f>HYPERLINK("#'S4 A2'!B1","Abrir")</f>
        <v>Abrir</v>
      </c>
      <c r="H18" s="3" t="str">
        <f>'S4 A2'!F54</f>
        <v>Não</v>
      </c>
    </row>
    <row r="19" ht="22.5" customHeight="1">
      <c r="B19" s="3">
        <v>4.0</v>
      </c>
      <c r="C19" s="3" t="s">
        <v>15</v>
      </c>
      <c r="D19" s="3" t="s">
        <v>16</v>
      </c>
      <c r="E19" s="3" t="s">
        <v>18</v>
      </c>
      <c r="F19" s="3">
        <v>29.0</v>
      </c>
      <c r="G19" s="7" t="str">
        <f>HYPERLINK("#'S4 A3'!B1","Abrir")</f>
        <v>Abrir</v>
      </c>
      <c r="H19" s="3" t="str">
        <f>'S4 A3'!F46</f>
        <v>Não</v>
      </c>
    </row>
    <row r="20" ht="22.5" customHeight="1">
      <c r="B20" s="5">
        <v>5.0</v>
      </c>
      <c r="C20" s="5" t="s">
        <v>9</v>
      </c>
      <c r="D20" s="5" t="s">
        <v>10</v>
      </c>
      <c r="E20" s="5" t="s">
        <v>11</v>
      </c>
      <c r="F20" s="5">
        <v>34.0</v>
      </c>
      <c r="G20" s="6" t="str">
        <f>HYPERLINK("#'S5 A1'!B1","Abrir")</f>
        <v>Abrir</v>
      </c>
      <c r="H20" s="5" t="str">
        <f>'S5 A1'!F54</f>
        <v>Não</v>
      </c>
    </row>
    <row r="21" ht="22.5" customHeight="1">
      <c r="B21" s="5">
        <v>5.0</v>
      </c>
      <c r="C21" s="5" t="s">
        <v>12</v>
      </c>
      <c r="D21" s="5" t="s">
        <v>13</v>
      </c>
      <c r="E21" s="5" t="s">
        <v>14</v>
      </c>
      <c r="F21" s="5">
        <v>35.0</v>
      </c>
      <c r="G21" s="6" t="str">
        <f>HYPERLINK("#'S5 A2'!B1","Abrir")</f>
        <v>Abrir</v>
      </c>
      <c r="H21" s="5" t="str">
        <f>'S5 A2'!F55</f>
        <v>Não</v>
      </c>
    </row>
    <row r="22" ht="22.5" customHeight="1">
      <c r="B22" s="5">
        <v>5.0</v>
      </c>
      <c r="C22" s="5" t="s">
        <v>15</v>
      </c>
      <c r="D22" s="5" t="s">
        <v>16</v>
      </c>
      <c r="E22" s="5" t="s">
        <v>17</v>
      </c>
      <c r="F22" s="5">
        <v>36.0</v>
      </c>
      <c r="G22" s="6" t="str">
        <f>HYPERLINK("#'S5 A3'!B1","Abrir")</f>
        <v>Abrir</v>
      </c>
      <c r="H22" s="5" t="str">
        <f>'S5 A3'!F46</f>
        <v>Não</v>
      </c>
    </row>
    <row r="23" ht="22.5" customHeight="1">
      <c r="B23" s="3">
        <v>6.0</v>
      </c>
      <c r="C23" s="3" t="s">
        <v>9</v>
      </c>
      <c r="D23" s="3" t="s">
        <v>10</v>
      </c>
      <c r="E23" s="3" t="s">
        <v>18</v>
      </c>
      <c r="F23" s="3">
        <v>37.0</v>
      </c>
      <c r="G23" s="7" t="str">
        <f>HYPERLINK("#'S6 A1'!B1","Abrir")</f>
        <v>Abrir</v>
      </c>
      <c r="H23" s="3" t="str">
        <f>'S6 A1'!F46</f>
        <v>Não</v>
      </c>
    </row>
    <row r="24" ht="22.5" customHeight="1">
      <c r="B24" s="3">
        <v>6.0</v>
      </c>
      <c r="C24" s="3" t="s">
        <v>12</v>
      </c>
      <c r="D24" s="3" t="s">
        <v>13</v>
      </c>
      <c r="E24" s="3" t="s">
        <v>19</v>
      </c>
      <c r="F24" s="3">
        <v>39.0</v>
      </c>
      <c r="G24" s="7" t="str">
        <f>HYPERLINK("#'S6 A2'!B1","Abrir")</f>
        <v>Abrir</v>
      </c>
      <c r="H24" s="3" t="str">
        <f>'S6 A2'!F54</f>
        <v>Não</v>
      </c>
    </row>
    <row r="25" ht="22.5" customHeight="1">
      <c r="B25" s="3">
        <v>6.0</v>
      </c>
      <c r="C25" s="3" t="s">
        <v>15</v>
      </c>
      <c r="D25" s="3" t="s">
        <v>16</v>
      </c>
      <c r="E25" s="3" t="s">
        <v>14</v>
      </c>
      <c r="F25" s="3">
        <v>35.0</v>
      </c>
      <c r="G25" s="7" t="str">
        <f>HYPERLINK("#'S6 A3'!B1","Abrir")</f>
        <v>Abrir</v>
      </c>
      <c r="H25" s="3" t="str">
        <f>'S6 A3'!F55</f>
        <v>Não</v>
      </c>
    </row>
    <row r="26" ht="22.5" customHeight="1">
      <c r="B26" s="5">
        <v>7.0</v>
      </c>
      <c r="C26" s="5" t="s">
        <v>9</v>
      </c>
      <c r="D26" s="5" t="s">
        <v>10</v>
      </c>
      <c r="E26" s="5" t="s">
        <v>11</v>
      </c>
      <c r="F26" s="5">
        <v>42.0</v>
      </c>
      <c r="G26" s="6" t="str">
        <f>HYPERLINK("#'S7 A1'!B1","Abrir")</f>
        <v>Abrir</v>
      </c>
      <c r="H26" s="5" t="str">
        <f>'S7 A1'!F54</f>
        <v>Não</v>
      </c>
    </row>
    <row r="27" ht="22.5" customHeight="1">
      <c r="B27" s="5">
        <v>7.0</v>
      </c>
      <c r="C27" s="5" t="s">
        <v>12</v>
      </c>
      <c r="D27" s="5" t="s">
        <v>13</v>
      </c>
      <c r="E27" s="5" t="s">
        <v>18</v>
      </c>
      <c r="F27" s="5">
        <v>45.0</v>
      </c>
      <c r="G27" s="6" t="str">
        <f>HYPERLINK("#'S7 A2'!B1","Abrir")</f>
        <v>Abrir</v>
      </c>
      <c r="H27" s="5" t="str">
        <f>'S7 A2'!F46</f>
        <v>Não</v>
      </c>
    </row>
    <row r="28" ht="22.5" customHeight="1">
      <c r="B28" s="5">
        <v>7.0</v>
      </c>
      <c r="C28" s="5" t="s">
        <v>15</v>
      </c>
      <c r="D28" s="5" t="s">
        <v>16</v>
      </c>
      <c r="E28" s="5" t="s">
        <v>17</v>
      </c>
      <c r="F28" s="5">
        <v>44.0</v>
      </c>
      <c r="G28" s="6" t="str">
        <f>HYPERLINK("#'S7 A3'!B1","Abrir")</f>
        <v>Abrir</v>
      </c>
      <c r="H28" s="5" t="str">
        <f>'S7 A3'!F46</f>
        <v>Não</v>
      </c>
    </row>
    <row r="29" ht="22.5" customHeight="1">
      <c r="B29" s="3">
        <v>8.0</v>
      </c>
      <c r="C29" s="3" t="s">
        <v>9</v>
      </c>
      <c r="D29" s="3" t="s">
        <v>10</v>
      </c>
      <c r="E29" s="3" t="s">
        <v>14</v>
      </c>
      <c r="F29" s="3">
        <v>43.0</v>
      </c>
      <c r="G29" s="7" t="str">
        <f>HYPERLINK("#'S8 A1'!B1","Abrir")</f>
        <v>Abrir</v>
      </c>
      <c r="H29" s="3" t="str">
        <f>'S8 A1'!F55</f>
        <v>Não</v>
      </c>
    </row>
    <row r="30" ht="22.5" customHeight="1">
      <c r="B30" s="3">
        <v>8.0</v>
      </c>
      <c r="C30" s="3" t="s">
        <v>12</v>
      </c>
      <c r="D30" s="3" t="s">
        <v>13</v>
      </c>
      <c r="E30" s="3" t="s">
        <v>19</v>
      </c>
      <c r="F30" s="3">
        <v>47.0</v>
      </c>
      <c r="G30" s="7" t="str">
        <f>HYPERLINK("#'S8 A2'!B1","Abrir")</f>
        <v>Abrir</v>
      </c>
      <c r="H30" s="3" t="str">
        <f>'S8 A2'!F54</f>
        <v>Não</v>
      </c>
    </row>
    <row r="31" ht="22.5" customHeight="1">
      <c r="B31" s="3">
        <v>8.0</v>
      </c>
      <c r="C31" s="3" t="s">
        <v>15</v>
      </c>
      <c r="D31" s="3" t="s">
        <v>16</v>
      </c>
      <c r="E31" s="3" t="s">
        <v>18</v>
      </c>
      <c r="F31" s="3">
        <v>45.0</v>
      </c>
      <c r="G31" s="7" t="str">
        <f>HYPERLINK("#'S8 A3'!B1","Abrir")</f>
        <v>Abrir</v>
      </c>
      <c r="H31" s="3" t="str">
        <f>'S8 A3'!F46</f>
        <v>Não</v>
      </c>
    </row>
    <row r="32" ht="22.5" customHeight="1">
      <c r="B32" s="3"/>
      <c r="C32" s="3"/>
      <c r="D32" s="3"/>
      <c r="E32" s="3"/>
      <c r="F32" s="3"/>
      <c r="G32" s="3"/>
      <c r="H32" s="3"/>
    </row>
    <row r="33" ht="22.5" customHeight="1">
      <c r="B33" s="3"/>
      <c r="C33" s="3"/>
      <c r="D33" s="3"/>
      <c r="E33" s="3"/>
      <c r="F33" s="3"/>
      <c r="G33" s="3"/>
      <c r="H33" s="3"/>
    </row>
    <row r="34" ht="15.0" customHeight="1">
      <c r="B34" s="8" t="s">
        <v>20</v>
      </c>
    </row>
    <row r="35" ht="15.0" customHeight="1"/>
    <row r="36" ht="18.75" customHeight="1">
      <c r="B36" s="9" t="s">
        <v>21</v>
      </c>
    </row>
    <row r="37" ht="18.75" customHeight="1"/>
    <row r="38" ht="18.75" customHeight="1">
      <c r="B38" s="9" t="s">
        <v>22</v>
      </c>
    </row>
    <row r="39" ht="18.75" customHeight="1"/>
    <row r="40" ht="18.75" customHeight="1">
      <c r="B40" s="9" t="s">
        <v>23</v>
      </c>
    </row>
    <row r="41" ht="18.75" customHeight="1"/>
    <row r="42" ht="18.75" customHeight="1">
      <c r="B42" s="9" t="s">
        <v>24</v>
      </c>
    </row>
    <row r="43" ht="18.75" customHeight="1"/>
    <row r="44" ht="18.75" customHeight="1">
      <c r="B44" s="9" t="s">
        <v>25</v>
      </c>
    </row>
    <row r="45" ht="18.75" customHeight="1"/>
    <row r="46" ht="18.75" customHeight="1">
      <c r="B46" s="9" t="s">
        <v>26</v>
      </c>
    </row>
    <row r="47" ht="18.75" customHeight="1"/>
    <row r="48" ht="18.75" customHeight="1">
      <c r="B48" s="9" t="s">
        <v>27</v>
      </c>
    </row>
    <row r="49" ht="18.75" customHeight="1"/>
    <row r="50" ht="18.75" customHeight="1">
      <c r="B50" s="9" t="s">
        <v>28</v>
      </c>
    </row>
    <row r="51" ht="18.75" customHeight="1"/>
    <row r="52" ht="18.75" customHeight="1">
      <c r="B52" s="9" t="s">
        <v>29</v>
      </c>
    </row>
    <row r="53" ht="18.75" customHeight="1"/>
    <row r="54" ht="18.75" customHeight="1">
      <c r="B54" s="9" t="s">
        <v>30</v>
      </c>
    </row>
    <row r="55" ht="18.75" customHeight="1"/>
    <row r="56" ht="18.75" customHeight="1">
      <c r="B56" s="9" t="s">
        <v>31</v>
      </c>
    </row>
    <row r="57" ht="18.75" customHeight="1"/>
    <row r="58" ht="18.75" customHeight="1">
      <c r="B58" s="10" t="s">
        <v>32</v>
      </c>
    </row>
    <row r="59" ht="18.75" customHeight="1"/>
    <row r="60" ht="22.5" customHeight="1">
      <c r="B60" s="10" t="s">
        <v>33</v>
      </c>
    </row>
    <row r="61" ht="22.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H3"/>
    <mergeCell ref="B4:H5"/>
    <mergeCell ref="B34:H35"/>
    <mergeCell ref="B36:H37"/>
    <mergeCell ref="B38:H39"/>
    <mergeCell ref="B40:H41"/>
    <mergeCell ref="B42:H43"/>
    <mergeCell ref="B58:H59"/>
    <mergeCell ref="B60:H61"/>
    <mergeCell ref="B44:H45"/>
    <mergeCell ref="B46:H47"/>
    <mergeCell ref="B48:H49"/>
    <mergeCell ref="B50:H51"/>
    <mergeCell ref="B52:H53"/>
    <mergeCell ref="B54:H55"/>
    <mergeCell ref="B56:H5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34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36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63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/>
      <c r="D17" s="18"/>
      <c r="E17" s="19"/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63</v>
      </c>
    </row>
    <row r="20" ht="21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67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HYPERLINK("https://www.youtube.com/watch?v=rYgNArpwE7E","Link")</f>
        <v>Link</v>
      </c>
      <c r="H22" s="3"/>
      <c r="I22" s="22" t="s">
        <v>67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2"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2"/>
        <v/>
      </c>
      <c r="E26" s="19" t="s">
        <v>66</v>
      </c>
      <c r="F26" s="20"/>
      <c r="G26" s="26"/>
      <c r="H26" s="3"/>
      <c r="I26" s="30" t="s">
        <v>61</v>
      </c>
    </row>
    <row r="27" ht="27.75" customHeight="1">
      <c r="A27" s="3"/>
      <c r="B27" s="25"/>
      <c r="C27" s="17"/>
      <c r="D27" s="18"/>
      <c r="E27" s="19"/>
      <c r="F27" s="20"/>
      <c r="G27" s="25"/>
      <c r="H27" s="3"/>
      <c r="I27" s="30" t="s">
        <v>70</v>
      </c>
    </row>
    <row r="28" ht="31.5" customHeight="1">
      <c r="A28" s="3"/>
      <c r="B28" s="30" t="s">
        <v>71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72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HYPERLINK("https://www.youtube.com/watch?v=m0FOpMEgero","Link")</f>
        <v>Link</v>
      </c>
      <c r="H30" s="3"/>
      <c r="I30" s="22" t="s">
        <v>72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51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63</v>
      </c>
    </row>
    <row r="36" ht="21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75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HYPERLINK("https://www.youtube.com/watch?v=9-JxC8XYqcI","Link")</f>
        <v>Link</v>
      </c>
      <c r="H38" s="3"/>
      <c r="I38" s="22" t="s">
        <v>75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>IF(ISNUMBER($B$41),IF(OR($J$41="",$J$41=0),$B$41*1,ROUNDDOWN($B$41*1/$J$41,0)*$J$41),"")</f>
        <v/>
      </c>
      <c r="E39" s="19" t="s">
        <v>66</v>
      </c>
      <c r="F39" s="20"/>
      <c r="G39" s="26"/>
      <c r="H39" s="3"/>
      <c r="I39" s="3" t="s">
        <v>50</v>
      </c>
      <c r="J39" s="27" t="s">
        <v>51</v>
      </c>
      <c r="K39" s="23"/>
      <c r="L39" s="24"/>
    </row>
    <row r="40" ht="24.75" customHeight="1">
      <c r="A40" s="3"/>
      <c r="B40" s="15" t="s">
        <v>52</v>
      </c>
      <c r="C40" s="17" t="s">
        <v>73</v>
      </c>
      <c r="D40" s="18" t="str">
        <f>IF(ISNUMBER($B$41),IF(OR($J$41="",$J$41=0),$B$41*1.1,ROUNDDOWN($B$41*1.1/$J$41,0)*$J$41),"")</f>
        <v/>
      </c>
      <c r="E40" s="19" t="s">
        <v>74</v>
      </c>
      <c r="F40" s="20"/>
      <c r="G40" s="26"/>
      <c r="H40" s="3"/>
      <c r="I40" s="3" t="s">
        <v>54</v>
      </c>
      <c r="J40" s="27" t="s">
        <v>76</v>
      </c>
      <c r="K40" s="23"/>
      <c r="L40" s="24"/>
    </row>
    <row r="41" ht="21.75" customHeight="1">
      <c r="A41" s="3"/>
      <c r="B41" s="32"/>
      <c r="C41" s="17"/>
      <c r="D41" s="18"/>
      <c r="E41" s="19"/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7.75" customHeight="1">
      <c r="A43" s="3"/>
      <c r="B43" s="25"/>
      <c r="C43" s="17"/>
      <c r="D43" s="18"/>
      <c r="E43" s="19"/>
      <c r="F43" s="20"/>
      <c r="G43" s="25"/>
      <c r="H43" s="3"/>
      <c r="I43" s="30" t="s">
        <v>70</v>
      </c>
    </row>
    <row r="44" ht="31.5" customHeight="1">
      <c r="A44" s="3"/>
      <c r="B44" s="30" t="s">
        <v>77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78</v>
      </c>
      <c r="C46" s="17" t="s">
        <v>48</v>
      </c>
      <c r="D46" s="18" t="str">
        <f>IF(ISNUMBER($B$49),IF(OR($J$49="",$J$49=0),$B$49*0.85,ROUNDDOWN($B$49*0.85/$J$49,0)*$J$49),"")</f>
        <v/>
      </c>
      <c r="E46" s="19" t="s">
        <v>49</v>
      </c>
      <c r="F46" s="20"/>
      <c r="G46" s="21" t="str">
        <f>HYPERLINK("https://www.youtube.com/shorts/taUhr2s8Sf0","Link")</f>
        <v>Link</v>
      </c>
      <c r="H46" s="3"/>
      <c r="I46" s="22" t="s">
        <v>78</v>
      </c>
      <c r="J46" s="23"/>
      <c r="K46" s="23"/>
      <c r="L46" s="24"/>
    </row>
    <row r="47" ht="21.75" customHeight="1">
      <c r="A47" s="3"/>
      <c r="B47" s="25"/>
      <c r="C47" s="17" t="s">
        <v>56</v>
      </c>
      <c r="D47" s="18" t="str">
        <f t="shared" ref="D47:D49" si="3">IF(ISNUMBER($B$49),IF(OR($J$49="",$J$49=0),$B$49*1,ROUNDDOWN($B$49*1/$J$49,0)*$J$49),"")</f>
        <v/>
      </c>
      <c r="E47" s="19" t="s">
        <v>57</v>
      </c>
      <c r="F47" s="20"/>
      <c r="G47" s="26"/>
      <c r="H47" s="3"/>
      <c r="I47" s="3" t="s">
        <v>50</v>
      </c>
      <c r="J47" s="27" t="s">
        <v>79</v>
      </c>
      <c r="K47" s="23"/>
      <c r="L47" s="24"/>
    </row>
    <row r="48" ht="24.75" customHeight="1">
      <c r="A48" s="3"/>
      <c r="B48" s="15" t="s">
        <v>52</v>
      </c>
      <c r="C48" s="17" t="s">
        <v>60</v>
      </c>
      <c r="D48" s="18" t="str">
        <f t="shared" si="3"/>
        <v/>
      </c>
      <c r="E48" s="19" t="s">
        <v>57</v>
      </c>
      <c r="F48" s="20"/>
      <c r="G48" s="26"/>
      <c r="H48" s="3"/>
      <c r="I48" s="3" t="s">
        <v>54</v>
      </c>
      <c r="J48" s="27" t="s">
        <v>80</v>
      </c>
      <c r="K48" s="23"/>
      <c r="L48" s="24"/>
    </row>
    <row r="49" ht="21.75" customHeight="1">
      <c r="A49" s="3"/>
      <c r="B49" s="32"/>
      <c r="C49" s="17" t="s">
        <v>62</v>
      </c>
      <c r="D49" s="18" t="str">
        <f t="shared" si="3"/>
        <v/>
      </c>
      <c r="E49" s="19" t="s">
        <v>57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7.75" customHeight="1">
      <c r="A51" s="3"/>
      <c r="B51" s="25"/>
      <c r="C51" s="17"/>
      <c r="D51" s="18"/>
      <c r="E51" s="19"/>
      <c r="F51" s="20"/>
      <c r="G51" s="25"/>
      <c r="H51" s="3"/>
      <c r="I51" s="30" t="s">
        <v>70</v>
      </c>
    </row>
    <row r="52" ht="31.5" customHeight="1">
      <c r="A52" s="3"/>
      <c r="B52" s="30" t="s">
        <v>81</v>
      </c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42:L42"/>
    <mergeCell ref="I43:L43"/>
    <mergeCell ref="J31:L31"/>
    <mergeCell ref="J32:L32"/>
    <mergeCell ref="I34:L34"/>
    <mergeCell ref="I35:L35"/>
    <mergeCell ref="I38:L38"/>
    <mergeCell ref="J39:L39"/>
    <mergeCell ref="J40:L40"/>
    <mergeCell ref="I22:L22"/>
    <mergeCell ref="J23:L23"/>
    <mergeCell ref="J24:L24"/>
    <mergeCell ref="I26:L26"/>
    <mergeCell ref="I27:L27"/>
    <mergeCell ref="B28:G28"/>
    <mergeCell ref="I30:L30"/>
    <mergeCell ref="B33:B35"/>
    <mergeCell ref="B38:B39"/>
    <mergeCell ref="B41:B43"/>
    <mergeCell ref="B44:G44"/>
    <mergeCell ref="I46:L46"/>
    <mergeCell ref="J47:L47"/>
    <mergeCell ref="J48:L48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G14:G19"/>
    <mergeCell ref="G22:G27"/>
    <mergeCell ref="G30:G35"/>
    <mergeCell ref="G38:G43"/>
    <mergeCell ref="G46:G51"/>
    <mergeCell ref="I10:L10"/>
    <mergeCell ref="I11:L11"/>
    <mergeCell ref="I14:L14"/>
    <mergeCell ref="J15:L15"/>
    <mergeCell ref="J16:L16"/>
    <mergeCell ref="I18:L18"/>
    <mergeCell ref="I19:L19"/>
    <mergeCell ref="B46:B47"/>
    <mergeCell ref="B49:B51"/>
    <mergeCell ref="B6:B7"/>
    <mergeCell ref="B9:B11"/>
    <mergeCell ref="B14:B15"/>
    <mergeCell ref="B17:B19"/>
    <mergeCell ref="B22:B23"/>
    <mergeCell ref="B25:B27"/>
    <mergeCell ref="B30:B31"/>
    <mergeCell ref="I50:L50"/>
    <mergeCell ref="I51:L51"/>
    <mergeCell ref="B52:G52"/>
    <mergeCell ref="B54:E54"/>
    <mergeCell ref="F54:G54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J9 L9 F6:F11 F14:F16 B17 J17 L17 B25 J25 L25 F22:F26 B33 F30:F33 J33 L33 F38:F40 B41 J41 L41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84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85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73</v>
      </c>
      <c r="D11" s="18" t="str">
        <f>IF(ISNUMBER($B$9),IF(OR($J$9="",$J$9=0),$B$9*1.1,ROUNDDOWN($B$9*1.1/$J$9,0)*$J$9),"")</f>
        <v/>
      </c>
      <c r="E11" s="19" t="s">
        <v>74</v>
      </c>
      <c r="F11" s="20"/>
      <c r="G11" s="26"/>
      <c r="H11" s="3"/>
      <c r="I11" s="31" t="s">
        <v>88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1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1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1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88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34" t="s">
        <v>96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73</v>
      </c>
      <c r="D26" s="18" t="str">
        <f>IF(ISNUMBER($B$26),IF(OR($J$26="",$J$26=0),$B$26*1.1,ROUNDDOWN($B$26*1.1/$J$26,0)*$J$26),"")</f>
        <v/>
      </c>
      <c r="E26" s="19" t="s">
        <v>74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/>
      <c r="D27" s="18"/>
      <c r="E27" s="19"/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88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88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2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34" t="s">
        <v>92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2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2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88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3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3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3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88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F23:F26 J26 L26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103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104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105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78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HYPERLINK("https://www.youtube.com/shorts/taUhr2s8Sf0","Link")</f>
        <v>Link</v>
      </c>
      <c r="H14" s="3"/>
      <c r="I14" s="22" t="s">
        <v>78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79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80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105</v>
      </c>
    </row>
    <row r="20" ht="31.5" customHeight="1">
      <c r="A20" s="3"/>
      <c r="B20" s="30" t="s">
        <v>106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107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HYPERLINK("https://www.youtube.com/watch?v=hYKoCUczAY4","Link")</f>
        <v>Link</v>
      </c>
      <c r="H22" s="3"/>
      <c r="I22" s="22" t="s">
        <v>107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73</v>
      </c>
      <c r="D26" s="18" t="str">
        <f>IF(ISNUMBER($B$25),IF(OR($J$25="",$J$25=0),$B$25*1.1,ROUNDDOWN($B$25*1.1/$J$25,0)*$J$25),"")</f>
        <v/>
      </c>
      <c r="E26" s="19" t="s">
        <v>74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105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108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HYPERLINK("https://www.youtube.com/shorts/U3prDlAbJDw","Link")</f>
        <v>Link</v>
      </c>
      <c r="H30" s="3"/>
      <c r="I30" s="22" t="s">
        <v>108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2" si="2">IF(ISNUMBER($B$33),IF(OR($J$33="",$J$33=0),$B$33*1,ROUNDDOWN($B$33*1/$J$33,0)*$J$33),"")</f>
        <v/>
      </c>
      <c r="E31" s="19" t="s">
        <v>66</v>
      </c>
      <c r="F31" s="20"/>
      <c r="G31" s="26"/>
      <c r="H31" s="3"/>
      <c r="I31" s="3" t="s">
        <v>50</v>
      </c>
      <c r="J31" s="27" t="s">
        <v>92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2"/>
        <v/>
      </c>
      <c r="E32" s="19" t="s">
        <v>66</v>
      </c>
      <c r="F32" s="20"/>
      <c r="G32" s="26"/>
      <c r="H32" s="3"/>
      <c r="I32" s="3" t="s">
        <v>54</v>
      </c>
      <c r="J32" s="27" t="s">
        <v>93</v>
      </c>
      <c r="K32" s="23"/>
      <c r="L32" s="24"/>
    </row>
    <row r="33" ht="21.75" customHeight="1">
      <c r="A33" s="3"/>
      <c r="B33" s="32"/>
      <c r="C33" s="17"/>
      <c r="D33" s="18"/>
      <c r="E33" s="19"/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105</v>
      </c>
    </row>
    <row r="36" ht="31.5" customHeight="1">
      <c r="A36" s="3"/>
      <c r="B36" s="30" t="s">
        <v>109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.5" customHeight="1">
      <c r="A38" s="3"/>
      <c r="F38" s="35"/>
    </row>
    <row r="39" ht="1.5" customHeight="1">
      <c r="A39" s="3"/>
      <c r="F39" s="35"/>
      <c r="J39" s="35"/>
    </row>
    <row r="40" ht="1.5" customHeight="1">
      <c r="A40" s="3"/>
      <c r="F40" s="35"/>
      <c r="J40" s="35"/>
    </row>
    <row r="41" ht="1.5" customHeight="1">
      <c r="A41" s="3"/>
      <c r="B41" s="35"/>
      <c r="F41" s="35"/>
      <c r="J41" s="35"/>
      <c r="L41" s="35"/>
    </row>
    <row r="42" ht="1.5" customHeight="1">
      <c r="A42" s="3"/>
    </row>
    <row r="43" ht="1.5" customHeight="1">
      <c r="A43" s="3"/>
    </row>
    <row r="44" ht="1.5" customHeight="1">
      <c r="A44" s="3"/>
    </row>
    <row r="45" ht="1.5" customHeight="1">
      <c r="A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I6:L6"/>
    <mergeCell ref="J7:L7"/>
    <mergeCell ref="B6:B7"/>
    <mergeCell ref="B9:B11"/>
    <mergeCell ref="B14:B15"/>
    <mergeCell ref="B17:B19"/>
    <mergeCell ref="B22:B23"/>
    <mergeCell ref="B25:B27"/>
    <mergeCell ref="B30:B31"/>
    <mergeCell ref="B33:B35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46:E46"/>
    <mergeCell ref="F46:G46"/>
    <mergeCell ref="G30:G35"/>
    <mergeCell ref="I30:L30"/>
    <mergeCell ref="J31:L31"/>
    <mergeCell ref="J32:L32"/>
    <mergeCell ref="I34:L34"/>
    <mergeCell ref="I35:L35"/>
    <mergeCell ref="B36:G36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B25 J25 L25 F22:F26 F30:F32 B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110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111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113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113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IF(ISNUMBER($B$25),IF(OR($J$25="",$J$25=0),$B$25*0.85,ROUNDDOWN($B$25*0.85/$J$25,0)*$J$25),"")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56</v>
      </c>
      <c r="D23" s="18" t="str">
        <f>IF(ISNUMBER($B$25),IF(OR($J$25="",$J$25=0),$B$25*1,ROUNDDOWN($B$25*1/$J$25,0)*$J$25),"")</f>
        <v/>
      </c>
      <c r="E23" s="19" t="s">
        <v>66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73</v>
      </c>
      <c r="D24" s="18" t="str">
        <f>IF(ISNUMBER($B$25),IF(OR($J$25="",$J$25=0),$B$25*1.1,ROUNDDOWN($B$25*1.1/$J$25,0)*$J$25),"")</f>
        <v/>
      </c>
      <c r="E24" s="19" t="s">
        <v>74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/>
      <c r="D25" s="18"/>
      <c r="E25" s="19"/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113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2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2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2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113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3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3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3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113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F22:F24 B25 J25 L25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119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120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56</v>
      </c>
      <c r="D7" s="18">
        <f t="shared" ref="D7:D9" si="1">IF(ISNUMBER($B$9),IF(OR($J$9="",$J$9=0),$B$9*1,ROUNDDOWN($B$9*1/$J$9,0)*$J$9),"")</f>
        <v>5</v>
      </c>
      <c r="E7" s="19" t="s">
        <v>57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60</v>
      </c>
      <c r="D8" s="18">
        <f t="shared" si="1"/>
        <v>5</v>
      </c>
      <c r="E8" s="19" t="s">
        <v>57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62</v>
      </c>
      <c r="D9" s="18">
        <f t="shared" si="1"/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/>
      <c r="D10" s="18"/>
      <c r="E10" s="19"/>
      <c r="F10" s="20"/>
      <c r="G10" s="26"/>
      <c r="H10" s="3"/>
      <c r="I10" s="30" t="s">
        <v>61</v>
      </c>
    </row>
    <row r="11" ht="21.75" customHeight="1">
      <c r="A11" s="3"/>
      <c r="B11" s="25"/>
      <c r="C11" s="17"/>
      <c r="D11" s="18"/>
      <c r="E11" s="19"/>
      <c r="F11" s="20"/>
      <c r="G11" s="25"/>
      <c r="H11" s="3"/>
      <c r="I11" s="31" t="s">
        <v>121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7.75" customHeight="1">
      <c r="A19" s="3"/>
      <c r="B19" s="25"/>
      <c r="C19" s="17"/>
      <c r="D19" s="18"/>
      <c r="E19" s="19"/>
      <c r="F19" s="20"/>
      <c r="G19" s="25"/>
      <c r="H19" s="3"/>
      <c r="I19" s="30" t="s">
        <v>70</v>
      </c>
    </row>
    <row r="20" ht="31.5" customHeight="1">
      <c r="A20" s="3"/>
      <c r="B20" s="30" t="s">
        <v>122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123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87</v>
      </c>
      <c r="F22" s="20"/>
      <c r="G22" s="21" t="str">
        <f>HYPERLINK("https://www.youtube.com/watch?v=pfSMst14EFk","Link")</f>
        <v>Link</v>
      </c>
      <c r="H22" s="3"/>
      <c r="I22" s="22" t="s">
        <v>123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87</v>
      </c>
      <c r="F23" s="20"/>
      <c r="G23" s="26"/>
      <c r="H23" s="3"/>
      <c r="I23" s="3" t="s">
        <v>50</v>
      </c>
      <c r="J23" s="27" t="s">
        <v>79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87</v>
      </c>
      <c r="F24" s="20"/>
      <c r="G24" s="26"/>
      <c r="H24" s="3"/>
      <c r="I24" s="3" t="s">
        <v>54</v>
      </c>
      <c r="J24" s="27" t="s">
        <v>80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2">IF(ISNUMBER($B$25),IF(OR($J$25="",$J$25=0),$B$25*1,ROUNDDOWN($B$25*1/$J$25,0)*$J$25),"")</f>
        <v/>
      </c>
      <c r="E25" s="19" t="s">
        <v>124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2"/>
        <v/>
      </c>
      <c r="E26" s="19" t="s">
        <v>124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121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87</v>
      </c>
      <c r="F30" s="20"/>
      <c r="G30" s="21" t="str">
        <f>HYPERLINK("https://www.youtube.com/shorts/taUhr2s8Sf0","Link")</f>
        <v>Link</v>
      </c>
      <c r="H30" s="3"/>
      <c r="I30" s="22" t="s">
        <v>78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87</v>
      </c>
      <c r="F31" s="20"/>
      <c r="G31" s="26"/>
      <c r="H31" s="3"/>
      <c r="I31" s="3" t="s">
        <v>50</v>
      </c>
      <c r="J31" s="27" t="s">
        <v>79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 t="shared" ref="D32:D33" si="3"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80</v>
      </c>
      <c r="K32" s="23"/>
      <c r="L32" s="24"/>
    </row>
    <row r="33" ht="21.75" customHeight="1">
      <c r="A33" s="3"/>
      <c r="B33" s="32"/>
      <c r="C33" s="17" t="s">
        <v>60</v>
      </c>
      <c r="D33" s="18" t="str">
        <f t="shared" si="3"/>
        <v/>
      </c>
      <c r="E33" s="19" t="s">
        <v>66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121</v>
      </c>
    </row>
    <row r="36" ht="31.5" customHeight="1">
      <c r="A36" s="3"/>
      <c r="B36" s="30" t="s">
        <v>106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125</v>
      </c>
      <c r="C38" s="17" t="s">
        <v>48</v>
      </c>
      <c r="D38" s="18" t="str">
        <f>IF(ISNUMBER($B$41),IF(OR($J$41="",$J$41=0),$B$41*0.7,ROUNDDOWN($B$41*0.7/$J$41,0)*$J$41),"")</f>
        <v/>
      </c>
      <c r="E38" s="19" t="s">
        <v>49</v>
      </c>
      <c r="F38" s="20"/>
      <c r="G38" s="21" t="str">
        <f>HYPERLINK("https://www.youtube.com/watch?v=hQOfjxHnRvg","Link")</f>
        <v>Link</v>
      </c>
      <c r="H38" s="3"/>
      <c r="I38" s="22" t="s">
        <v>125</v>
      </c>
      <c r="J38" s="23"/>
      <c r="K38" s="23"/>
      <c r="L38" s="24"/>
    </row>
    <row r="39" ht="21.75" customHeight="1">
      <c r="A39" s="3"/>
      <c r="B39" s="25"/>
      <c r="C39" s="17" t="s">
        <v>53</v>
      </c>
      <c r="D39" s="18" t="str">
        <f>IF(ISNUMBER($B$41),IF(OR($J$41="",$J$41=0),$B$41*0.85,ROUNDDOWN($B$41*0.85/$J$41,0)*$J$41),"")</f>
        <v/>
      </c>
      <c r="E39" s="19" t="s">
        <v>49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56</v>
      </c>
      <c r="D40" s="18" t="str">
        <f t="shared" ref="D40:D42" si="4">IF(ISNUMBER($B$41),IF(OR($J$41="",$J$41=0),$B$41*1,ROUNDDOWN($B$41*1/$J$41,0)*$J$41),"")</f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60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 t="s">
        <v>62</v>
      </c>
      <c r="D42" s="18" t="str">
        <f t="shared" si="4"/>
        <v/>
      </c>
      <c r="E42" s="19" t="s">
        <v>57</v>
      </c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121</v>
      </c>
    </row>
    <row r="44" ht="31.5" customHeight="1">
      <c r="A44" s="3"/>
      <c r="B44" s="30" t="s">
        <v>126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72</v>
      </c>
      <c r="C46" s="17" t="s">
        <v>48</v>
      </c>
      <c r="D46" s="18" t="str">
        <f>IF(ISNUMBER($B$49),IF(OR($J$49="",$J$49=0),$B$49*0.7,ROUNDDOWN($B$49*0.7/$J$49,0)*$J$49),"")</f>
        <v/>
      </c>
      <c r="E46" s="19" t="s">
        <v>49</v>
      </c>
      <c r="F46" s="20"/>
      <c r="G46" s="21" t="str">
        <f>HYPERLINK("https://www.youtube.com/watch?v=m0FOpMEgero","Link")</f>
        <v>Link</v>
      </c>
      <c r="H46" s="3"/>
      <c r="I46" s="22" t="s">
        <v>72</v>
      </c>
      <c r="J46" s="23"/>
      <c r="K46" s="23"/>
      <c r="L46" s="24"/>
    </row>
    <row r="47" ht="21.75" customHeight="1">
      <c r="A47" s="3"/>
      <c r="B47" s="25"/>
      <c r="C47" s="17" t="s">
        <v>53</v>
      </c>
      <c r="D47" s="18" t="str">
        <f>IF(ISNUMBER($B$49),IF(OR($J$49="",$J$49=0),$B$49*0.85,ROUNDDOWN($B$49*0.85/$J$49,0)*$J$49),"")</f>
        <v/>
      </c>
      <c r="E47" s="19" t="s">
        <v>49</v>
      </c>
      <c r="F47" s="20"/>
      <c r="G47" s="26"/>
      <c r="H47" s="3"/>
      <c r="I47" s="3" t="s">
        <v>50</v>
      </c>
      <c r="J47" s="27" t="s">
        <v>51</v>
      </c>
      <c r="K47" s="23"/>
      <c r="L47" s="24"/>
    </row>
    <row r="48" ht="24.75" customHeight="1">
      <c r="A48" s="3"/>
      <c r="B48" s="15" t="s">
        <v>52</v>
      </c>
      <c r="C48" s="17" t="s">
        <v>56</v>
      </c>
      <c r="D48" s="18" t="str">
        <f>IF(ISNUMBER($B$49),IF(OR($J$49="",$J$49=0),$B$49*1,ROUNDDOWN($B$49*1/$J$49,0)*$J$49),"")</f>
        <v/>
      </c>
      <c r="E48" s="19" t="s">
        <v>66</v>
      </c>
      <c r="F48" s="20"/>
      <c r="G48" s="26"/>
      <c r="H48" s="3"/>
      <c r="I48" s="3" t="s">
        <v>54</v>
      </c>
      <c r="J48" s="27" t="s">
        <v>55</v>
      </c>
      <c r="K48" s="23"/>
      <c r="L48" s="24"/>
    </row>
    <row r="49" ht="21.75" customHeight="1">
      <c r="A49" s="3"/>
      <c r="B49" s="32"/>
      <c r="C49" s="17" t="s">
        <v>73</v>
      </c>
      <c r="D49" s="18" t="str">
        <f>IF(ISNUMBER($B$49),IF(OR($J$49="",$J$49=0),$B$49*1.1,ROUNDDOWN($B$49*1.1/$J$49,0)*$J$49),"")</f>
        <v/>
      </c>
      <c r="E49" s="19" t="s">
        <v>74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1.75" customHeight="1">
      <c r="A51" s="3"/>
      <c r="B51" s="25"/>
      <c r="C51" s="17"/>
      <c r="D51" s="18"/>
      <c r="E51" s="19"/>
      <c r="F51" s="20"/>
      <c r="G51" s="25"/>
      <c r="H51" s="3"/>
      <c r="I51" s="31" t="s">
        <v>121</v>
      </c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J40:L40"/>
    <mergeCell ref="I42:L42"/>
    <mergeCell ref="I43:L43"/>
    <mergeCell ref="I46:L46"/>
    <mergeCell ref="J47:L47"/>
    <mergeCell ref="J48:L48"/>
    <mergeCell ref="I50:L50"/>
    <mergeCell ref="I51:L51"/>
    <mergeCell ref="G30:G35"/>
    <mergeCell ref="I30:L30"/>
    <mergeCell ref="J31:L31"/>
    <mergeCell ref="J32:L32"/>
    <mergeCell ref="I34:L34"/>
    <mergeCell ref="I35:L35"/>
    <mergeCell ref="B36:G36"/>
    <mergeCell ref="B49:B51"/>
    <mergeCell ref="B54:E54"/>
    <mergeCell ref="F54:G54"/>
    <mergeCell ref="B33:B35"/>
    <mergeCell ref="B38:B39"/>
    <mergeCell ref="G38:G43"/>
    <mergeCell ref="B41:B43"/>
    <mergeCell ref="B44:G44"/>
    <mergeCell ref="B46:B47"/>
    <mergeCell ref="G46:G51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F6:F9 J9 L9 B17 F14:F17 J17 L17 B25 J25 L25 F22:F26 B33 F30:F33 J33 L33 B41 J41 L41 F38:F42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127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128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73</v>
      </c>
      <c r="D11" s="18" t="str">
        <f>IF(ISNUMBER($B$9),IF(OR($J$9="",$J$9=0),$B$9*1.1,ROUNDDOWN($B$9*1.1/$J$9,0)*$J$9),"")</f>
        <v/>
      </c>
      <c r="E11" s="19" t="s">
        <v>74</v>
      </c>
      <c r="F11" s="20"/>
      <c r="G11" s="26"/>
      <c r="H11" s="3"/>
      <c r="I11" s="31" t="s">
        <v>88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1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1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1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88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27" t="s">
        <v>51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73</v>
      </c>
      <c r="D26" s="18" t="str">
        <f>IF(ISNUMBER($B$26),IF(OR($J$26="",$J$26=0),$B$26*1.1,ROUNDDOWN($B$26*1.1/$J$26,0)*$J$26),"")</f>
        <v/>
      </c>
      <c r="E26" s="19" t="s">
        <v>74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/>
      <c r="D27" s="18"/>
      <c r="E27" s="19"/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88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88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2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27" t="s">
        <v>51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2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2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88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3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3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3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88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F23:F26 J26 L26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129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36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130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130</v>
      </c>
    </row>
    <row r="20" ht="21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67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HYPERLINK("https://www.youtube.com/watch?v=rYgNArpwE7E","Link")</f>
        <v>Link</v>
      </c>
      <c r="H22" s="3"/>
      <c r="I22" s="22" t="s">
        <v>67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73</v>
      </c>
      <c r="D26" s="18" t="str">
        <f>IF(ISNUMBER($B$25),IF(OR($J$25="",$J$25=0),$B$25*1.1,ROUNDDOWN($B$25*1.1/$J$25,0)*$J$25),"")</f>
        <v/>
      </c>
      <c r="E26" s="19" t="s">
        <v>57</v>
      </c>
      <c r="F26" s="20"/>
      <c r="G26" s="26"/>
      <c r="H26" s="3"/>
      <c r="I26" s="30" t="s">
        <v>61</v>
      </c>
    </row>
    <row r="27" ht="27.75" customHeight="1">
      <c r="A27" s="3"/>
      <c r="B27" s="25"/>
      <c r="C27" s="17"/>
      <c r="D27" s="18"/>
      <c r="E27" s="19"/>
      <c r="F27" s="20"/>
      <c r="G27" s="25"/>
      <c r="H27" s="3"/>
      <c r="I27" s="30" t="s">
        <v>70</v>
      </c>
    </row>
    <row r="28" ht="31.5" customHeight="1">
      <c r="A28" s="3"/>
      <c r="B28" s="30" t="s">
        <v>71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72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HYPERLINK("https://www.youtube.com/watch?v=m0FOpMEgero","Link")</f>
        <v>Link</v>
      </c>
      <c r="H30" s="3"/>
      <c r="I30" s="22" t="s">
        <v>72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51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130</v>
      </c>
    </row>
    <row r="36" ht="21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75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HYPERLINK("https://www.youtube.com/watch?v=9-JxC8XYqcI","Link")</f>
        <v>Link</v>
      </c>
      <c r="H38" s="3"/>
      <c r="I38" s="22" t="s">
        <v>75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>IF(ISNUMBER($B$41),IF(OR($J$41="",$J$41=0),$B$41*1,ROUNDDOWN($B$41*1/$J$41,0)*$J$41),"")</f>
        <v/>
      </c>
      <c r="E39" s="19" t="s">
        <v>66</v>
      </c>
      <c r="F39" s="20"/>
      <c r="G39" s="26"/>
      <c r="H39" s="3"/>
      <c r="I39" s="3" t="s">
        <v>50</v>
      </c>
      <c r="J39" s="27" t="s">
        <v>51</v>
      </c>
      <c r="K39" s="23"/>
      <c r="L39" s="24"/>
    </row>
    <row r="40" ht="24.75" customHeight="1">
      <c r="A40" s="3"/>
      <c r="B40" s="15" t="s">
        <v>52</v>
      </c>
      <c r="C40" s="17" t="s">
        <v>73</v>
      </c>
      <c r="D40" s="18" t="str">
        <f>IF(ISNUMBER($B$41),IF(OR($J$41="",$J$41=0),$B$41*1.1,ROUNDDOWN($B$41*1.1/$J$41,0)*$J$41),"")</f>
        <v/>
      </c>
      <c r="E40" s="19" t="s">
        <v>74</v>
      </c>
      <c r="F40" s="20"/>
      <c r="G40" s="26"/>
      <c r="H40" s="3"/>
      <c r="I40" s="3" t="s">
        <v>54</v>
      </c>
      <c r="J40" s="27" t="s">
        <v>76</v>
      </c>
      <c r="K40" s="23"/>
      <c r="L40" s="24"/>
    </row>
    <row r="41" ht="21.75" customHeight="1">
      <c r="A41" s="3"/>
      <c r="B41" s="32"/>
      <c r="C41" s="17"/>
      <c r="D41" s="18"/>
      <c r="E41" s="19"/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7.75" customHeight="1">
      <c r="A43" s="3"/>
      <c r="B43" s="25"/>
      <c r="C43" s="17"/>
      <c r="D43" s="18"/>
      <c r="E43" s="19"/>
      <c r="F43" s="20"/>
      <c r="G43" s="25"/>
      <c r="H43" s="3"/>
      <c r="I43" s="30" t="s">
        <v>70</v>
      </c>
    </row>
    <row r="44" ht="31.5" customHeight="1">
      <c r="A44" s="3"/>
      <c r="B44" s="30" t="s">
        <v>77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78</v>
      </c>
      <c r="C46" s="17" t="s">
        <v>48</v>
      </c>
      <c r="D46" s="18" t="str">
        <f>IF(ISNUMBER($B$49),IF(OR($J$49="",$J$49=0),$B$49*0.85,ROUNDDOWN($B$49*0.85/$J$49,0)*$J$49),"")</f>
        <v/>
      </c>
      <c r="E46" s="19" t="s">
        <v>49</v>
      </c>
      <c r="F46" s="20"/>
      <c r="G46" s="21" t="str">
        <f>HYPERLINK("https://www.youtube.com/shorts/taUhr2s8Sf0","Link")</f>
        <v>Link</v>
      </c>
      <c r="H46" s="3"/>
      <c r="I46" s="22" t="s">
        <v>78</v>
      </c>
      <c r="J46" s="23"/>
      <c r="K46" s="23"/>
      <c r="L46" s="24"/>
    </row>
    <row r="47" ht="21.75" customHeight="1">
      <c r="A47" s="3"/>
      <c r="B47" s="25"/>
      <c r="C47" s="17" t="s">
        <v>56</v>
      </c>
      <c r="D47" s="18" t="str">
        <f t="shared" ref="D47:D49" si="2">IF(ISNUMBER($B$49),IF(OR($J$49="",$J$49=0),$B$49*1,ROUNDDOWN($B$49*1/$J$49,0)*$J$49),"")</f>
        <v/>
      </c>
      <c r="E47" s="19" t="s">
        <v>57</v>
      </c>
      <c r="F47" s="20"/>
      <c r="G47" s="26"/>
      <c r="H47" s="3"/>
      <c r="I47" s="3" t="s">
        <v>50</v>
      </c>
      <c r="J47" s="27" t="s">
        <v>79</v>
      </c>
      <c r="K47" s="23"/>
      <c r="L47" s="24"/>
    </row>
    <row r="48" ht="24.75" customHeight="1">
      <c r="A48" s="3"/>
      <c r="B48" s="15" t="s">
        <v>52</v>
      </c>
      <c r="C48" s="17" t="s">
        <v>60</v>
      </c>
      <c r="D48" s="18" t="str">
        <f t="shared" si="2"/>
        <v/>
      </c>
      <c r="E48" s="19" t="s">
        <v>57</v>
      </c>
      <c r="F48" s="20"/>
      <c r="G48" s="26"/>
      <c r="H48" s="3"/>
      <c r="I48" s="3" t="s">
        <v>54</v>
      </c>
      <c r="J48" s="27" t="s">
        <v>80</v>
      </c>
      <c r="K48" s="23"/>
      <c r="L48" s="24"/>
    </row>
    <row r="49" ht="21.75" customHeight="1">
      <c r="A49" s="3"/>
      <c r="B49" s="32"/>
      <c r="C49" s="17" t="s">
        <v>62</v>
      </c>
      <c r="D49" s="18" t="str">
        <f t="shared" si="2"/>
        <v/>
      </c>
      <c r="E49" s="19" t="s">
        <v>57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7.75" customHeight="1">
      <c r="A51" s="3"/>
      <c r="B51" s="25"/>
      <c r="C51" s="17"/>
      <c r="D51" s="18"/>
      <c r="E51" s="19"/>
      <c r="F51" s="20"/>
      <c r="G51" s="25"/>
      <c r="H51" s="3"/>
      <c r="I51" s="30" t="s">
        <v>70</v>
      </c>
    </row>
    <row r="52" ht="31.5" customHeight="1">
      <c r="A52" s="3"/>
      <c r="B52" s="30" t="s">
        <v>81</v>
      </c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42:L42"/>
    <mergeCell ref="I43:L43"/>
    <mergeCell ref="J31:L31"/>
    <mergeCell ref="J32:L32"/>
    <mergeCell ref="I34:L34"/>
    <mergeCell ref="I35:L35"/>
    <mergeCell ref="I38:L38"/>
    <mergeCell ref="J39:L39"/>
    <mergeCell ref="J40:L40"/>
    <mergeCell ref="I22:L22"/>
    <mergeCell ref="J23:L23"/>
    <mergeCell ref="J24:L24"/>
    <mergeCell ref="I26:L26"/>
    <mergeCell ref="I27:L27"/>
    <mergeCell ref="B28:G28"/>
    <mergeCell ref="I30:L30"/>
    <mergeCell ref="B33:B35"/>
    <mergeCell ref="B38:B39"/>
    <mergeCell ref="B41:B43"/>
    <mergeCell ref="B44:G44"/>
    <mergeCell ref="I46:L46"/>
    <mergeCell ref="J47:L47"/>
    <mergeCell ref="J48:L48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G14:G19"/>
    <mergeCell ref="G22:G27"/>
    <mergeCell ref="G30:G35"/>
    <mergeCell ref="G38:G43"/>
    <mergeCell ref="G46:G51"/>
    <mergeCell ref="I10:L10"/>
    <mergeCell ref="I11:L11"/>
    <mergeCell ref="I14:L14"/>
    <mergeCell ref="J15:L15"/>
    <mergeCell ref="J16:L16"/>
    <mergeCell ref="I18:L18"/>
    <mergeCell ref="I19:L19"/>
    <mergeCell ref="B46:B47"/>
    <mergeCell ref="B49:B51"/>
    <mergeCell ref="B6:B7"/>
    <mergeCell ref="B9:B11"/>
    <mergeCell ref="B14:B15"/>
    <mergeCell ref="B17:B19"/>
    <mergeCell ref="B22:B23"/>
    <mergeCell ref="B25:B27"/>
    <mergeCell ref="B30:B31"/>
    <mergeCell ref="I50:L50"/>
    <mergeCell ref="I51:L51"/>
    <mergeCell ref="B52:G52"/>
    <mergeCell ref="B54:E54"/>
    <mergeCell ref="F54:G54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J9 L9 F6:F11 B17 F14:F17 J17 L17 B25 J25 L25 F22:F26 B33 F30:F33 J33 L33 F38:F40 B41 J41 L41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131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132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133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133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IF(ISNUMBER($B$25),IF(OR($J$25="",$J$25=0),$B$25*0.85,ROUNDDOWN($B$25*0.85/$J$25,0)*$J$25),"")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56</v>
      </c>
      <c r="D23" s="18" t="str">
        <f>IF(ISNUMBER($B$25),IF(OR($J$25="",$J$25=0),$B$25*1,ROUNDDOWN($B$25*1/$J$25,0)*$J$25),"")</f>
        <v/>
      </c>
      <c r="E23" s="19" t="s">
        <v>66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73</v>
      </c>
      <c r="D24" s="18" t="str">
        <f>IF(ISNUMBER($B$25),IF(OR($J$25="",$J$25=0),$B$25*1.1,ROUNDDOWN($B$25*1.1/$J$25,0)*$J$25),"")</f>
        <v/>
      </c>
      <c r="E24" s="19" t="s">
        <v>74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/>
      <c r="D25" s="18"/>
      <c r="E25" s="19"/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133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2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2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2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133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3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3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3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133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F22:F24 B25 J25 L25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134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104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135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78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HYPERLINK("https://www.youtube.com/shorts/taUhr2s8Sf0","Link")</f>
        <v>Link</v>
      </c>
      <c r="H14" s="3"/>
      <c r="I14" s="22" t="s">
        <v>78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79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80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135</v>
      </c>
    </row>
    <row r="20" ht="31.5" customHeight="1">
      <c r="A20" s="3"/>
      <c r="B20" s="30" t="s">
        <v>106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107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HYPERLINK("https://www.youtube.com/watch?v=hYKoCUczAY4","Link")</f>
        <v>Link</v>
      </c>
      <c r="H22" s="3"/>
      <c r="I22" s="22" t="s">
        <v>107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73</v>
      </c>
      <c r="D26" s="18" t="str">
        <f>IF(ISNUMBER($B$25),IF(OR($J$25="",$J$25=0),$B$25*1.1,ROUNDDOWN($B$25*1.1/$J$25,0)*$J$25),"")</f>
        <v/>
      </c>
      <c r="E26" s="19" t="s">
        <v>74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135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108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HYPERLINK("https://www.youtube.com/shorts/U3prDlAbJDw","Link")</f>
        <v>Link</v>
      </c>
      <c r="H30" s="3"/>
      <c r="I30" s="22" t="s">
        <v>108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92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93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135</v>
      </c>
    </row>
    <row r="36" ht="31.5" customHeight="1">
      <c r="A36" s="3"/>
      <c r="B36" s="30" t="s">
        <v>109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.5" customHeight="1">
      <c r="A38" s="3"/>
      <c r="F38" s="35"/>
    </row>
    <row r="39" ht="1.5" customHeight="1">
      <c r="A39" s="3"/>
      <c r="F39" s="35"/>
      <c r="J39" s="35"/>
    </row>
    <row r="40" ht="1.5" customHeight="1">
      <c r="A40" s="3"/>
      <c r="F40" s="35"/>
      <c r="J40" s="35"/>
    </row>
    <row r="41" ht="1.5" customHeight="1">
      <c r="A41" s="3"/>
      <c r="B41" s="35"/>
      <c r="F41" s="35"/>
      <c r="J41" s="35"/>
      <c r="L41" s="35"/>
    </row>
    <row r="42" ht="1.5" customHeight="1">
      <c r="A42" s="3"/>
    </row>
    <row r="43" ht="1.5" customHeight="1">
      <c r="A43" s="3"/>
    </row>
    <row r="44" ht="1.5" customHeight="1">
      <c r="A44" s="3"/>
    </row>
    <row r="45" ht="1.5" customHeight="1">
      <c r="A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I6:L6"/>
    <mergeCell ref="J7:L7"/>
    <mergeCell ref="B6:B7"/>
    <mergeCell ref="B9:B11"/>
    <mergeCell ref="B14:B15"/>
    <mergeCell ref="B17:B19"/>
    <mergeCell ref="B22:B23"/>
    <mergeCell ref="B25:B27"/>
    <mergeCell ref="B30:B31"/>
    <mergeCell ref="B33:B35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46:E46"/>
    <mergeCell ref="F46:G46"/>
    <mergeCell ref="G30:G35"/>
    <mergeCell ref="I30:L30"/>
    <mergeCell ref="J31:L31"/>
    <mergeCell ref="J32:L32"/>
    <mergeCell ref="I34:L34"/>
    <mergeCell ref="I35:L35"/>
    <mergeCell ref="B36:G36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B25 J25 L25 F22:F26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136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137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73</v>
      </c>
      <c r="D11" s="18" t="str">
        <f>IF(ISNUMBER($B$9),IF(OR($J$9="",$J$9=0),$B$9*1.1,ROUNDDOWN($B$9*1.1/$J$9,0)*$J$9),"")</f>
        <v/>
      </c>
      <c r="E11" s="19" t="s">
        <v>74</v>
      </c>
      <c r="F11" s="20"/>
      <c r="G11" s="26"/>
      <c r="H11" s="3"/>
      <c r="I11" s="31" t="s">
        <v>138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1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1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1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138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27" t="s">
        <v>51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73</v>
      </c>
      <c r="D26" s="18" t="str">
        <f>IF(ISNUMBER($B$26),IF(OR($J$26="",$J$26=0),$B$26*1.1,ROUNDDOWN($B$26*1.1/$J$26,0)*$J$26),"")</f>
        <v/>
      </c>
      <c r="E26" s="19" t="s">
        <v>74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/>
      <c r="D27" s="18"/>
      <c r="E27" s="19"/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138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138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2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27" t="s">
        <v>51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2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2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138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3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3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3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138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F23:F26 J26 L26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139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120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56</v>
      </c>
      <c r="D7" s="18">
        <f t="shared" ref="D7:D9" si="1">IF(ISNUMBER($B$9),IF(OR($J$9="",$J$9=0),$B$9*1,ROUNDDOWN($B$9*1/$J$9,0)*$J$9),"")</f>
        <v>5</v>
      </c>
      <c r="E7" s="19" t="s">
        <v>57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60</v>
      </c>
      <c r="D8" s="18">
        <f t="shared" si="1"/>
        <v>5</v>
      </c>
      <c r="E8" s="19" t="s">
        <v>57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62</v>
      </c>
      <c r="D9" s="18">
        <f t="shared" si="1"/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/>
      <c r="D10" s="18"/>
      <c r="E10" s="19"/>
      <c r="F10" s="20"/>
      <c r="G10" s="26"/>
      <c r="H10" s="3"/>
      <c r="I10" s="30" t="s">
        <v>61</v>
      </c>
    </row>
    <row r="11" ht="21.75" customHeight="1">
      <c r="A11" s="3"/>
      <c r="B11" s="25"/>
      <c r="C11" s="17"/>
      <c r="D11" s="18"/>
      <c r="E11" s="19"/>
      <c r="F11" s="20"/>
      <c r="G11" s="25"/>
      <c r="H11" s="3"/>
      <c r="I11" s="31" t="s">
        <v>140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7.75" customHeight="1">
      <c r="A19" s="3"/>
      <c r="B19" s="25"/>
      <c r="C19" s="17"/>
      <c r="D19" s="18"/>
      <c r="E19" s="19"/>
      <c r="F19" s="20"/>
      <c r="G19" s="25"/>
      <c r="H19" s="3"/>
      <c r="I19" s="30" t="s">
        <v>70</v>
      </c>
    </row>
    <row r="20" ht="31.5" customHeight="1">
      <c r="A20" s="3"/>
      <c r="B20" s="30" t="s">
        <v>122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123</v>
      </c>
      <c r="C22" s="17" t="s">
        <v>48</v>
      </c>
      <c r="D22" s="18" t="str">
        <f>IF(ISNUMBER($B$25),IF(OR($J$25="",$J$25=0),$B$25*0.7,ROUNDDOWN($B$25*0.7/$J$25,0)*$J$25),"")</f>
        <v/>
      </c>
      <c r="E22" s="19" t="s">
        <v>49</v>
      </c>
      <c r="F22" s="20"/>
      <c r="G22" s="21" t="str">
        <f>HYPERLINK("https://www.youtube.com/watch?v=pfSMst14EFk","Link")</f>
        <v>Link</v>
      </c>
      <c r="H22" s="3"/>
      <c r="I22" s="22" t="s">
        <v>123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IF(ISNUMBER($B$25),IF(OR($J$25="",$J$25=0),$B$25*0.85,ROUNDDOWN($B$25*0.85/$J$25,0)*$J$25),"")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79</v>
      </c>
      <c r="K23" s="23"/>
      <c r="L23" s="24"/>
    </row>
    <row r="24" ht="24.75" customHeight="1">
      <c r="A24" s="3"/>
      <c r="B24" s="15" t="s">
        <v>52</v>
      </c>
      <c r="C24" s="17" t="s">
        <v>56</v>
      </c>
      <c r="D24" s="18" t="str">
        <f>IF(ISNUMBER($B$25),IF(OR($J$25="",$J$25=0),$B$25*1,ROUNDDOWN($B$25*1/$J$25,0)*$J$25),"")</f>
        <v/>
      </c>
      <c r="E24" s="19" t="s">
        <v>124</v>
      </c>
      <c r="F24" s="20"/>
      <c r="G24" s="26"/>
      <c r="H24" s="3"/>
      <c r="I24" s="3" t="s">
        <v>54</v>
      </c>
      <c r="J24" s="27" t="s">
        <v>80</v>
      </c>
      <c r="K24" s="23"/>
      <c r="L24" s="24"/>
    </row>
    <row r="25" ht="21.75" customHeight="1">
      <c r="A25" s="3"/>
      <c r="B25" s="32"/>
      <c r="C25" s="17" t="s">
        <v>73</v>
      </c>
      <c r="D25" s="18" t="str">
        <f>IF(ISNUMBER($B$25),IF(OR($J$25="",$J$25=0),$B$25*1.08,ROUNDDOWN($B$25*1.08/$J$25,0)*$J$25),"")</f>
        <v/>
      </c>
      <c r="E25" s="19" t="s">
        <v>49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140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HYPERLINK("https://www.youtube.com/shorts/taUhr2s8Sf0","Link")</f>
        <v>Link</v>
      </c>
      <c r="H30" s="3"/>
      <c r="I30" s="22" t="s">
        <v>78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79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80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140</v>
      </c>
    </row>
    <row r="36" ht="31.5" customHeight="1">
      <c r="A36" s="3"/>
      <c r="B36" s="30" t="s">
        <v>106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125</v>
      </c>
      <c r="C38" s="17" t="s">
        <v>48</v>
      </c>
      <c r="D38" s="18" t="str">
        <f>IF(ISNUMBER($B$41),IF(OR($J$41="",$J$41=0),$B$41*0.7,ROUNDDOWN($B$41*0.7/$J$41,0)*$J$41),"")</f>
        <v/>
      </c>
      <c r="E38" s="19" t="s">
        <v>49</v>
      </c>
      <c r="F38" s="20"/>
      <c r="G38" s="21" t="str">
        <f>HYPERLINK("https://www.youtube.com/watch?v=hQOfjxHnRvg","Link")</f>
        <v>Link</v>
      </c>
      <c r="H38" s="3"/>
      <c r="I38" s="22" t="s">
        <v>125</v>
      </c>
      <c r="J38" s="23"/>
      <c r="K38" s="23"/>
      <c r="L38" s="24"/>
    </row>
    <row r="39" ht="21.75" customHeight="1">
      <c r="A39" s="3"/>
      <c r="B39" s="25"/>
      <c r="C39" s="17" t="s">
        <v>53</v>
      </c>
      <c r="D39" s="18" t="str">
        <f>IF(ISNUMBER($B$41),IF(OR($J$41="",$J$41=0),$B$41*0.85,ROUNDDOWN($B$41*0.85/$J$41,0)*$J$41),"")</f>
        <v/>
      </c>
      <c r="E39" s="19" t="s">
        <v>49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56</v>
      </c>
      <c r="D40" s="18" t="str">
        <f t="shared" ref="D40:D42" si="2">IF(ISNUMBER($B$41),IF(OR($J$41="",$J$41=0),$B$41*1,ROUNDDOWN($B$41*1/$J$41,0)*$J$41),"")</f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60</v>
      </c>
      <c r="D41" s="18" t="str">
        <f t="shared" si="2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 t="s">
        <v>62</v>
      </c>
      <c r="D42" s="18" t="str">
        <f t="shared" si="2"/>
        <v/>
      </c>
      <c r="E42" s="19" t="s">
        <v>57</v>
      </c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140</v>
      </c>
    </row>
    <row r="44" ht="31.5" customHeight="1">
      <c r="A44" s="3"/>
      <c r="B44" s="30" t="s">
        <v>126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72</v>
      </c>
      <c r="C46" s="17" t="s">
        <v>48</v>
      </c>
      <c r="D46" s="18" t="str">
        <f>IF(ISNUMBER($B$49),IF(OR($J$49="",$J$49=0),$B$49*0.7,ROUNDDOWN($B$49*0.7/$J$49,0)*$J$49),"")</f>
        <v/>
      </c>
      <c r="E46" s="19" t="s">
        <v>49</v>
      </c>
      <c r="F46" s="20"/>
      <c r="G46" s="21" t="str">
        <f>HYPERLINK("https://www.youtube.com/watch?v=m0FOpMEgero","Link")</f>
        <v>Link</v>
      </c>
      <c r="H46" s="3"/>
      <c r="I46" s="22" t="s">
        <v>72</v>
      </c>
      <c r="J46" s="23"/>
      <c r="K46" s="23"/>
      <c r="L46" s="24"/>
    </row>
    <row r="47" ht="21.75" customHeight="1">
      <c r="A47" s="3"/>
      <c r="B47" s="25"/>
      <c r="C47" s="17" t="s">
        <v>53</v>
      </c>
      <c r="D47" s="18" t="str">
        <f>IF(ISNUMBER($B$49),IF(OR($J$49="",$J$49=0),$B$49*0.85,ROUNDDOWN($B$49*0.85/$J$49,0)*$J$49),"")</f>
        <v/>
      </c>
      <c r="E47" s="19" t="s">
        <v>49</v>
      </c>
      <c r="F47" s="20"/>
      <c r="G47" s="26"/>
      <c r="H47" s="3"/>
      <c r="I47" s="3" t="s">
        <v>50</v>
      </c>
      <c r="J47" s="27" t="s">
        <v>51</v>
      </c>
      <c r="K47" s="23"/>
      <c r="L47" s="24"/>
    </row>
    <row r="48" ht="24.75" customHeight="1">
      <c r="A48" s="3"/>
      <c r="B48" s="15" t="s">
        <v>52</v>
      </c>
      <c r="C48" s="17" t="s">
        <v>56</v>
      </c>
      <c r="D48" s="18" t="str">
        <f>IF(ISNUMBER($B$49),IF(OR($J$49="",$J$49=0),$B$49*1,ROUNDDOWN($B$49*1/$J$49,0)*$J$49),"")</f>
        <v/>
      </c>
      <c r="E48" s="19" t="s">
        <v>66</v>
      </c>
      <c r="F48" s="20"/>
      <c r="G48" s="26"/>
      <c r="H48" s="3"/>
      <c r="I48" s="3" t="s">
        <v>54</v>
      </c>
      <c r="J48" s="27" t="s">
        <v>55</v>
      </c>
      <c r="K48" s="23"/>
      <c r="L48" s="24"/>
    </row>
    <row r="49" ht="21.75" customHeight="1">
      <c r="A49" s="3"/>
      <c r="B49" s="32"/>
      <c r="C49" s="17" t="s">
        <v>73</v>
      </c>
      <c r="D49" s="18" t="str">
        <f>IF(ISNUMBER($B$49),IF(OR($J$49="",$J$49=0),$B$49*1.1,ROUNDDOWN($B$49*1.1/$J$49,0)*$J$49),"")</f>
        <v/>
      </c>
      <c r="E49" s="19" t="s">
        <v>74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1.75" customHeight="1">
      <c r="A51" s="3"/>
      <c r="B51" s="25"/>
      <c r="C51" s="17"/>
      <c r="D51" s="18"/>
      <c r="E51" s="19"/>
      <c r="F51" s="20"/>
      <c r="G51" s="25"/>
      <c r="H51" s="3"/>
      <c r="I51" s="31" t="s">
        <v>140</v>
      </c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J40:L40"/>
    <mergeCell ref="I42:L42"/>
    <mergeCell ref="I43:L43"/>
    <mergeCell ref="I46:L46"/>
    <mergeCell ref="J47:L47"/>
    <mergeCell ref="J48:L48"/>
    <mergeCell ref="I50:L50"/>
    <mergeCell ref="I51:L51"/>
    <mergeCell ref="G30:G35"/>
    <mergeCell ref="I30:L30"/>
    <mergeCell ref="J31:L31"/>
    <mergeCell ref="J32:L32"/>
    <mergeCell ref="I34:L34"/>
    <mergeCell ref="I35:L35"/>
    <mergeCell ref="B36:G36"/>
    <mergeCell ref="B49:B51"/>
    <mergeCell ref="B54:E54"/>
    <mergeCell ref="F54:G54"/>
    <mergeCell ref="B33:B35"/>
    <mergeCell ref="B38:B39"/>
    <mergeCell ref="G38:G43"/>
    <mergeCell ref="B41:B43"/>
    <mergeCell ref="B44:G44"/>
    <mergeCell ref="B46:B47"/>
    <mergeCell ref="G46:G51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F6:F9 J9 L9 B17 F14:F17 J17 L17 B25 F22:F25 J25 L25 B33 F30:F33 J33 L33 B41 J41 L41 F38:F42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141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142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133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133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IF(ISNUMBER($B$25),IF(OR($J$25="",$J$25=0),$B$25*0.85,ROUNDDOWN($B$25*0.85/$J$25,0)*$J$25),"")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56</v>
      </c>
      <c r="D23" s="18" t="str">
        <f>IF(ISNUMBER($B$25),IF(OR($J$25="",$J$25=0),$B$25*1,ROUNDDOWN($B$25*1/$J$25,0)*$J$25),"")</f>
        <v/>
      </c>
      <c r="E23" s="19" t="s">
        <v>66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73</v>
      </c>
      <c r="D24" s="18" t="str">
        <f>IF(ISNUMBER($B$25),IF(OR($J$25="",$J$25=0),$B$25*1.1,ROUNDDOWN($B$25*1.1/$J$25,0)*$J$25),"")</f>
        <v/>
      </c>
      <c r="E24" s="19" t="s">
        <v>74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/>
      <c r="D25" s="18"/>
      <c r="E25" s="19"/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133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2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2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2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133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3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3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3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133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F22:F24 B25 J25 L25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143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36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144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89</v>
      </c>
      <c r="D17" s="18" t="str">
        <f>IF(ISNUMBER($B$17),IF(OR($J$17="",$J$17=0),$B$17*0.75,ROUNDDOWN($B$17*0.75/$J$17,0)*$J$17),"")</f>
        <v/>
      </c>
      <c r="E17" s="19" t="s">
        <v>57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144</v>
      </c>
    </row>
    <row r="20" ht="21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67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HYPERLINK("https://www.youtube.com/watch?v=rYgNArpwE7E","Link")</f>
        <v>Link</v>
      </c>
      <c r="H22" s="3"/>
      <c r="I22" s="22" t="s">
        <v>67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2"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2"/>
        <v/>
      </c>
      <c r="E26" s="19" t="s">
        <v>66</v>
      </c>
      <c r="F26" s="20"/>
      <c r="G26" s="26"/>
      <c r="H26" s="3"/>
      <c r="I26" s="30" t="s">
        <v>61</v>
      </c>
    </row>
    <row r="27" ht="27.75" customHeight="1">
      <c r="A27" s="3"/>
      <c r="B27" s="25"/>
      <c r="C27" s="17" t="s">
        <v>89</v>
      </c>
      <c r="D27" s="18" t="str">
        <f>IF(ISNUMBER($B$25),IF(OR($J$25="",$J$25=0),$B$25*0.75,ROUNDDOWN($B$25*0.75/$J$25,0)*$J$25),"")</f>
        <v/>
      </c>
      <c r="E27" s="19" t="s">
        <v>57</v>
      </c>
      <c r="F27" s="20"/>
      <c r="G27" s="25"/>
      <c r="H27" s="3"/>
      <c r="I27" s="30" t="s">
        <v>70</v>
      </c>
    </row>
    <row r="28" ht="31.5" customHeight="1">
      <c r="A28" s="3"/>
      <c r="B28" s="30" t="s">
        <v>71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72</v>
      </c>
      <c r="C30" s="17" t="s">
        <v>48</v>
      </c>
      <c r="D30" s="18" t="str">
        <f>IF(ISNUMBER($B$33),IF(OR($J$33="",$J$33=0),$B$33*0.5,ROUNDDOWN($B$33*0.5/$J$33,0)*$J$33),"")</f>
        <v/>
      </c>
      <c r="E30" s="19" t="s">
        <v>49</v>
      </c>
      <c r="F30" s="20"/>
      <c r="G30" s="21" t="str">
        <f>HYPERLINK("https://www.youtube.com/watch?v=m0FOpMEgero","Link")</f>
        <v>Link</v>
      </c>
      <c r="H30" s="3"/>
      <c r="I30" s="22" t="s">
        <v>72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IF(ISNUMBER($B$33),IF(OR($J$33="",$J$33=0),$B$33*0.7,ROUNDDOWN($B$33*0.7/$J$33,0)*$J$33),"")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51</v>
      </c>
      <c r="K31" s="23"/>
      <c r="L31" s="24"/>
    </row>
    <row r="32" ht="24.75" customHeight="1">
      <c r="A32" s="3"/>
      <c r="B32" s="15" t="s">
        <v>52</v>
      </c>
      <c r="C32" s="17" t="s">
        <v>68</v>
      </c>
      <c r="D32" s="18" t="str">
        <f>IF(ISNUMBER($B$33),IF(OR($J$33="",$J$33=0),$B$33*0.85,ROUNDDOWN($B$33*0.85/$J$33,0)*$J$33),"")</f>
        <v/>
      </c>
      <c r="E32" s="19" t="s">
        <v>49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56</v>
      </c>
      <c r="D33" s="18" t="str">
        <f t="shared" ref="D33:D34" si="3">IF(ISNUMBER($B$33),IF(OR($J$33="",$J$33=0),$B$33*1,ROUNDDOWN($B$33*1/$J$33,0)*$J$33),"")</f>
        <v/>
      </c>
      <c r="E33" s="19" t="s">
        <v>66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 t="s">
        <v>60</v>
      </c>
      <c r="D34" s="18" t="str">
        <f t="shared" si="3"/>
        <v/>
      </c>
      <c r="E34" s="19" t="s">
        <v>66</v>
      </c>
      <c r="F34" s="20"/>
      <c r="G34" s="26"/>
      <c r="H34" s="3"/>
      <c r="I34" s="30" t="s">
        <v>61</v>
      </c>
    </row>
    <row r="35" ht="21.75" customHeight="1">
      <c r="A35" s="3"/>
      <c r="B35" s="25"/>
      <c r="C35" s="17" t="s">
        <v>89</v>
      </c>
      <c r="D35" s="18" t="str">
        <f>IF(ISNUMBER($B$33),IF(OR($J$33="",$J$33=0),$B$33*0.75,ROUNDDOWN($B$33*0.75/$J$33,0)*$J$33),"")</f>
        <v/>
      </c>
      <c r="E35" s="19" t="s">
        <v>57</v>
      </c>
      <c r="F35" s="20"/>
      <c r="G35" s="25"/>
      <c r="H35" s="3"/>
      <c r="I35" s="31" t="s">
        <v>144</v>
      </c>
    </row>
    <row r="36" ht="21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75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HYPERLINK("https://www.youtube.com/watch?v=9-JxC8XYqcI","Link")</f>
        <v>Link</v>
      </c>
      <c r="H38" s="3"/>
      <c r="I38" s="22" t="s">
        <v>75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0" si="4">IF(ISNUMBER($B$41),IF(OR($J$41="",$J$41=0),$B$41*1,ROUNDDOWN($B$41*1/$J$41,0)*$J$41),"")</f>
        <v/>
      </c>
      <c r="E39" s="19" t="s">
        <v>66</v>
      </c>
      <c r="F39" s="20"/>
      <c r="G39" s="26"/>
      <c r="H39" s="3"/>
      <c r="I39" s="3" t="s">
        <v>50</v>
      </c>
      <c r="J39" s="27" t="s">
        <v>51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4"/>
        <v/>
      </c>
      <c r="E40" s="19" t="s">
        <v>66</v>
      </c>
      <c r="F40" s="20"/>
      <c r="G40" s="26"/>
      <c r="H40" s="3"/>
      <c r="I40" s="3" t="s">
        <v>54</v>
      </c>
      <c r="J40" s="27" t="s">
        <v>76</v>
      </c>
      <c r="K40" s="23"/>
      <c r="L40" s="24"/>
    </row>
    <row r="41" ht="21.75" customHeight="1">
      <c r="A41" s="3"/>
      <c r="B41" s="32"/>
      <c r="C41" s="17"/>
      <c r="D41" s="18"/>
      <c r="E41" s="19"/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7.75" customHeight="1">
      <c r="A43" s="3"/>
      <c r="B43" s="25"/>
      <c r="C43" s="17"/>
      <c r="D43" s="18"/>
      <c r="E43" s="19"/>
      <c r="F43" s="20"/>
      <c r="G43" s="25"/>
      <c r="H43" s="3"/>
      <c r="I43" s="30" t="s">
        <v>70</v>
      </c>
    </row>
    <row r="44" ht="31.5" customHeight="1">
      <c r="A44" s="3"/>
      <c r="B44" s="30" t="s">
        <v>77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78</v>
      </c>
      <c r="C46" s="17" t="s">
        <v>48</v>
      </c>
      <c r="D46" s="18" t="str">
        <f>IF(ISNUMBER($B$49),IF(OR($J$49="",$J$49=0),$B$49*0.85,ROUNDDOWN($B$49*0.85/$J$49,0)*$J$49),"")</f>
        <v/>
      </c>
      <c r="E46" s="19" t="s">
        <v>49</v>
      </c>
      <c r="F46" s="20"/>
      <c r="G46" s="21" t="str">
        <f>HYPERLINK("https://www.youtube.com/shorts/taUhr2s8Sf0","Link")</f>
        <v>Link</v>
      </c>
      <c r="H46" s="3"/>
      <c r="I46" s="22" t="s">
        <v>78</v>
      </c>
      <c r="J46" s="23"/>
      <c r="K46" s="23"/>
      <c r="L46" s="24"/>
    </row>
    <row r="47" ht="21.75" customHeight="1">
      <c r="A47" s="3"/>
      <c r="B47" s="25"/>
      <c r="C47" s="17" t="s">
        <v>56</v>
      </c>
      <c r="D47" s="18" t="str">
        <f t="shared" ref="D47:D49" si="5">IF(ISNUMBER($B$49),IF(OR($J$49="",$J$49=0),$B$49*1,ROUNDDOWN($B$49*1/$J$49,0)*$J$49),"")</f>
        <v/>
      </c>
      <c r="E47" s="19" t="s">
        <v>57</v>
      </c>
      <c r="F47" s="20"/>
      <c r="G47" s="26"/>
      <c r="H47" s="3"/>
      <c r="I47" s="3" t="s">
        <v>50</v>
      </c>
      <c r="J47" s="27" t="s">
        <v>79</v>
      </c>
      <c r="K47" s="23"/>
      <c r="L47" s="24"/>
    </row>
    <row r="48" ht="24.75" customHeight="1">
      <c r="A48" s="3"/>
      <c r="B48" s="15" t="s">
        <v>52</v>
      </c>
      <c r="C48" s="17" t="s">
        <v>60</v>
      </c>
      <c r="D48" s="18" t="str">
        <f t="shared" si="5"/>
        <v/>
      </c>
      <c r="E48" s="19" t="s">
        <v>57</v>
      </c>
      <c r="F48" s="20"/>
      <c r="G48" s="26"/>
      <c r="H48" s="3"/>
      <c r="I48" s="3" t="s">
        <v>54</v>
      </c>
      <c r="J48" s="27" t="s">
        <v>80</v>
      </c>
      <c r="K48" s="23"/>
      <c r="L48" s="24"/>
    </row>
    <row r="49" ht="21.75" customHeight="1">
      <c r="A49" s="3"/>
      <c r="B49" s="32"/>
      <c r="C49" s="17" t="s">
        <v>62</v>
      </c>
      <c r="D49" s="18" t="str">
        <f t="shared" si="5"/>
        <v/>
      </c>
      <c r="E49" s="19" t="s">
        <v>57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7.75" customHeight="1">
      <c r="A51" s="3"/>
      <c r="B51" s="25"/>
      <c r="C51" s="17"/>
      <c r="D51" s="18"/>
      <c r="E51" s="19"/>
      <c r="F51" s="20"/>
      <c r="G51" s="25"/>
      <c r="H51" s="3"/>
      <c r="I51" s="30" t="s">
        <v>70</v>
      </c>
    </row>
    <row r="52" ht="31.5" customHeight="1">
      <c r="A52" s="3"/>
      <c r="B52" s="30" t="s">
        <v>81</v>
      </c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42:L42"/>
    <mergeCell ref="I43:L43"/>
    <mergeCell ref="J31:L31"/>
    <mergeCell ref="J32:L32"/>
    <mergeCell ref="I34:L34"/>
    <mergeCell ref="I35:L35"/>
    <mergeCell ref="I38:L38"/>
    <mergeCell ref="J39:L39"/>
    <mergeCell ref="J40:L40"/>
    <mergeCell ref="I22:L22"/>
    <mergeCell ref="J23:L23"/>
    <mergeCell ref="J24:L24"/>
    <mergeCell ref="I26:L26"/>
    <mergeCell ref="I27:L27"/>
    <mergeCell ref="B28:G28"/>
    <mergeCell ref="I30:L30"/>
    <mergeCell ref="B33:B35"/>
    <mergeCell ref="B38:B39"/>
    <mergeCell ref="B41:B43"/>
    <mergeCell ref="B44:G44"/>
    <mergeCell ref="I46:L46"/>
    <mergeCell ref="J47:L47"/>
    <mergeCell ref="J48:L48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G14:G19"/>
    <mergeCell ref="G22:G27"/>
    <mergeCell ref="G30:G35"/>
    <mergeCell ref="G38:G43"/>
    <mergeCell ref="G46:G51"/>
    <mergeCell ref="I10:L10"/>
    <mergeCell ref="I11:L11"/>
    <mergeCell ref="I14:L14"/>
    <mergeCell ref="J15:L15"/>
    <mergeCell ref="J16:L16"/>
    <mergeCell ref="I18:L18"/>
    <mergeCell ref="I19:L19"/>
    <mergeCell ref="B46:B47"/>
    <mergeCell ref="B49:B51"/>
    <mergeCell ref="B6:B7"/>
    <mergeCell ref="B9:B11"/>
    <mergeCell ref="B14:B15"/>
    <mergeCell ref="B17:B19"/>
    <mergeCell ref="B22:B23"/>
    <mergeCell ref="B25:B27"/>
    <mergeCell ref="B30:B31"/>
    <mergeCell ref="I50:L50"/>
    <mergeCell ref="I51:L51"/>
    <mergeCell ref="B52:G52"/>
    <mergeCell ref="B54:E54"/>
    <mergeCell ref="F54:G54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J9 L9 F6:F11 B17 F14:F17 J17 L17 B25 J25 L25 F22:F27 B33 J33 L33 F30:F35 F38:F40 B41 J41 L41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145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85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 t="shared" ref="D10:D11" si="1"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60</v>
      </c>
      <c r="D11" s="18" t="str">
        <f t="shared" si="1"/>
        <v/>
      </c>
      <c r="E11" s="19" t="s">
        <v>66</v>
      </c>
      <c r="F11" s="20"/>
      <c r="G11" s="26"/>
      <c r="H11" s="3"/>
      <c r="I11" s="31" t="s">
        <v>146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2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2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2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146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27" t="s">
        <v>51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 t="shared" ref="D25:D26" si="3"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60</v>
      </c>
      <c r="D26" s="18" t="str">
        <f t="shared" si="3"/>
        <v/>
      </c>
      <c r="E26" s="19" t="s">
        <v>66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 t="s">
        <v>89</v>
      </c>
      <c r="D27" s="18" t="str">
        <f>IF(ISNUMBER($B$26),IF(OR($J$26="",$J$26=0),$B$26*0.75,ROUNDDOWN($B$26*0.75/$J$26,0)*$J$26),"")</f>
        <v/>
      </c>
      <c r="E27" s="19" t="s">
        <v>57</v>
      </c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146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146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4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27" t="s">
        <v>51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4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4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146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5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5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5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146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J26 L26 F23:F27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147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104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148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78</v>
      </c>
      <c r="C14" s="17" t="s">
        <v>48</v>
      </c>
      <c r="D14" s="18" t="str">
        <f>IF(ISNUMBER($B$17),IF(OR($J$17="",$J$17=0),$B$17*0.5,ROUNDDOWN($B$17*0.5/$J$17,0)*$J$17),"")</f>
        <v/>
      </c>
      <c r="E14" s="19" t="s">
        <v>49</v>
      </c>
      <c r="F14" s="20"/>
      <c r="G14" s="21" t="str">
        <f>HYPERLINK("https://www.youtube.com/shorts/taUhr2s8Sf0","Link")</f>
        <v>Link</v>
      </c>
      <c r="H14" s="3"/>
      <c r="I14" s="22" t="s">
        <v>78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IF(ISNUMBER($B$17),IF(OR($J$17="",$J$17=0),$B$17*0.7,ROUNDDOWN($B$17*0.7/$J$17,0)*$J$17),"")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79</v>
      </c>
      <c r="K15" s="23"/>
      <c r="L15" s="24"/>
    </row>
    <row r="16" ht="24.75" customHeight="1">
      <c r="A16" s="3"/>
      <c r="B16" s="15" t="s">
        <v>52</v>
      </c>
      <c r="C16" s="17" t="s">
        <v>68</v>
      </c>
      <c r="D16" s="18" t="str">
        <f>IF(ISNUMBER($B$17),IF(OR($J$17="",$J$17=0),$B$17*0.85,ROUNDDOWN($B$17*0.85/$J$17,0)*$J$17),"")</f>
        <v/>
      </c>
      <c r="E16" s="19" t="s">
        <v>49</v>
      </c>
      <c r="F16" s="20"/>
      <c r="G16" s="26"/>
      <c r="H16" s="3"/>
      <c r="I16" s="3" t="s">
        <v>54</v>
      </c>
      <c r="J16" s="27" t="s">
        <v>80</v>
      </c>
      <c r="K16" s="23"/>
      <c r="L16" s="24"/>
    </row>
    <row r="17" ht="21.75" customHeight="1">
      <c r="A17" s="3"/>
      <c r="B17" s="32"/>
      <c r="C17" s="17" t="s">
        <v>56</v>
      </c>
      <c r="D17" s="18" t="str">
        <f t="shared" ref="D17:D18" si="2">IF(ISNUMBER($B$17),IF(OR($J$17="",$J$17=0),$B$17*1,ROUNDDOWN($B$17*1/$J$17,0)*$J$17),"")</f>
        <v/>
      </c>
      <c r="E17" s="19" t="s">
        <v>66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 t="s">
        <v>60</v>
      </c>
      <c r="D18" s="18" t="str">
        <f t="shared" si="2"/>
        <v/>
      </c>
      <c r="E18" s="19" t="s">
        <v>66</v>
      </c>
      <c r="F18" s="20"/>
      <c r="G18" s="26"/>
      <c r="H18" s="3"/>
      <c r="I18" s="30" t="s">
        <v>61</v>
      </c>
    </row>
    <row r="19" ht="21.75" customHeight="1">
      <c r="A19" s="3"/>
      <c r="B19" s="25"/>
      <c r="C19" s="17" t="s">
        <v>89</v>
      </c>
      <c r="D19" s="18" t="str">
        <f>IF(ISNUMBER($B$17),IF(OR($J$17="",$J$17=0),$B$17*0.75,ROUNDDOWN($B$17*0.75/$J$17,0)*$J$17),"")</f>
        <v/>
      </c>
      <c r="E19" s="19" t="s">
        <v>57</v>
      </c>
      <c r="F19" s="20"/>
      <c r="G19" s="25"/>
      <c r="H19" s="3"/>
      <c r="I19" s="31" t="s">
        <v>148</v>
      </c>
    </row>
    <row r="20" ht="31.5" customHeight="1">
      <c r="A20" s="3"/>
      <c r="B20" s="30" t="s">
        <v>106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107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HYPERLINK("https://www.youtube.com/watch?v=hYKoCUczAY4","Link")</f>
        <v>Link</v>
      </c>
      <c r="H22" s="3"/>
      <c r="I22" s="22" t="s">
        <v>107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3"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3"/>
        <v/>
      </c>
      <c r="E26" s="19" t="s">
        <v>66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148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108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HYPERLINK("https://www.youtube.com/shorts/U3prDlAbJDw","Link")</f>
        <v>Link</v>
      </c>
      <c r="H30" s="3"/>
      <c r="I30" s="22" t="s">
        <v>108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92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 t="shared" ref="D32:D33" si="4"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93</v>
      </c>
      <c r="K32" s="23"/>
      <c r="L32" s="24"/>
    </row>
    <row r="33" ht="21.75" customHeight="1">
      <c r="A33" s="3"/>
      <c r="B33" s="32"/>
      <c r="C33" s="17" t="s">
        <v>60</v>
      </c>
      <c r="D33" s="18" t="str">
        <f t="shared" si="4"/>
        <v/>
      </c>
      <c r="E33" s="19" t="s">
        <v>66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148</v>
      </c>
    </row>
    <row r="36" ht="31.5" customHeight="1">
      <c r="A36" s="3"/>
      <c r="B36" s="30" t="s">
        <v>109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.5" customHeight="1">
      <c r="A38" s="3"/>
      <c r="F38" s="35"/>
    </row>
    <row r="39" ht="1.5" customHeight="1">
      <c r="A39" s="3"/>
      <c r="F39" s="35"/>
      <c r="J39" s="35"/>
    </row>
    <row r="40" ht="1.5" customHeight="1">
      <c r="A40" s="3"/>
      <c r="F40" s="35"/>
      <c r="J40" s="35"/>
    </row>
    <row r="41" ht="1.5" customHeight="1">
      <c r="A41" s="3"/>
      <c r="B41" s="35"/>
      <c r="F41" s="35"/>
      <c r="J41" s="35"/>
      <c r="L41" s="35"/>
    </row>
    <row r="42" ht="1.5" customHeight="1">
      <c r="A42" s="3"/>
    </row>
    <row r="43" ht="1.5" customHeight="1">
      <c r="A43" s="3"/>
    </row>
    <row r="44" ht="1.5" customHeight="1">
      <c r="A44" s="3"/>
    </row>
    <row r="45" ht="1.5" customHeight="1">
      <c r="A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I6:L6"/>
    <mergeCell ref="J7:L7"/>
    <mergeCell ref="B6:B7"/>
    <mergeCell ref="B9:B11"/>
    <mergeCell ref="B14:B15"/>
    <mergeCell ref="B17:B19"/>
    <mergeCell ref="B22:B23"/>
    <mergeCell ref="B25:B27"/>
    <mergeCell ref="B30:B31"/>
    <mergeCell ref="B33:B35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46:E46"/>
    <mergeCell ref="F46:G46"/>
    <mergeCell ref="G30:G35"/>
    <mergeCell ref="I30:L30"/>
    <mergeCell ref="J31:L31"/>
    <mergeCell ref="J32:L32"/>
    <mergeCell ref="I34:L34"/>
    <mergeCell ref="I35:L35"/>
    <mergeCell ref="B36:G36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J17 L17 F14:F19 B25 J25 L25 F22:F26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149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111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150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150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IF(ISNUMBER($B$25),IF(OR($J$25="",$J$25=0),$B$25*0.7,ROUNDDOWN($B$25*0.7/$J$25,0)*$J$25),"")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IF(ISNUMBER($B$25),IF(OR($J$25="",$J$25=0),$B$25*0.85,ROUNDDOWN($B$25*0.85/$J$25,0)*$J$25),"")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56</v>
      </c>
      <c r="D24" s="18" t="str">
        <f t="shared" ref="D24:D25" si="2">IF(ISNUMBER($B$25),IF(OR($J$25="",$J$25=0),$B$25*1,ROUNDDOWN($B$25*1/$J$25,0)*$J$25),"")</f>
        <v/>
      </c>
      <c r="E24" s="19" t="s">
        <v>66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 t="s">
        <v>60</v>
      </c>
      <c r="D25" s="18" t="str">
        <f t="shared" si="2"/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89</v>
      </c>
      <c r="D26" s="18" t="str">
        <f>IF(ISNUMBER($B$25),IF(OR($J$25="",$J$25=0),$B$25*0.75,ROUNDDOWN($B$25*0.75/$J$25,0)*$J$25),"")</f>
        <v/>
      </c>
      <c r="E26" s="19" t="s">
        <v>57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150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3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3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3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150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4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4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150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F14:F17 J17 L17 B25 J25 L25 F22:F26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151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120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56</v>
      </c>
      <c r="D7" s="18">
        <f t="shared" ref="D7:D9" si="1">IF(ISNUMBER($B$9),IF(OR($J$9="",$J$9=0),$B$9*1,ROUNDDOWN($B$9*1/$J$9,0)*$J$9),"")</f>
        <v>5</v>
      </c>
      <c r="E7" s="19" t="s">
        <v>57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60</v>
      </c>
      <c r="D8" s="18">
        <f t="shared" si="1"/>
        <v>5</v>
      </c>
      <c r="E8" s="19" t="s">
        <v>57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62</v>
      </c>
      <c r="D9" s="18">
        <f t="shared" si="1"/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/>
      <c r="D10" s="18"/>
      <c r="E10" s="19"/>
      <c r="F10" s="20"/>
      <c r="G10" s="26"/>
      <c r="H10" s="3"/>
      <c r="I10" s="30" t="s">
        <v>61</v>
      </c>
    </row>
    <row r="11" ht="21.75" customHeight="1">
      <c r="A11" s="3"/>
      <c r="B11" s="25"/>
      <c r="C11" s="17"/>
      <c r="D11" s="18"/>
      <c r="E11" s="19"/>
      <c r="F11" s="20"/>
      <c r="G11" s="25"/>
      <c r="H11" s="3"/>
      <c r="I11" s="31" t="s">
        <v>152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7.75" customHeight="1">
      <c r="A19" s="3"/>
      <c r="B19" s="25"/>
      <c r="C19" s="17"/>
      <c r="D19" s="18"/>
      <c r="E19" s="19"/>
      <c r="F19" s="20"/>
      <c r="G19" s="25"/>
      <c r="H19" s="3"/>
      <c r="I19" s="30" t="s">
        <v>70</v>
      </c>
    </row>
    <row r="20" ht="31.5" customHeight="1">
      <c r="A20" s="3"/>
      <c r="B20" s="30" t="s">
        <v>122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123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HYPERLINK("https://www.youtube.com/watch?v=pfSMst14EFk","Link")</f>
        <v>Link</v>
      </c>
      <c r="H22" s="3"/>
      <c r="I22" s="22" t="s">
        <v>123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79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80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2">IF(ISNUMBER($B$25),IF(OR($J$25="",$J$25=0),$B$25*1,ROUNDDOWN($B$25*1/$J$25,0)*$J$25),"")</f>
        <v/>
      </c>
      <c r="E25" s="19" t="s">
        <v>124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2"/>
        <v/>
      </c>
      <c r="E26" s="19" t="s">
        <v>124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 t="s">
        <v>89</v>
      </c>
      <c r="D27" s="18" t="str">
        <f>IF(ISNUMBER($B$25),IF(OR($J$25="",$J$25=0),$B$25*0.75,ROUNDDOWN($B$25*0.75/$J$25,0)*$J$25),"")</f>
        <v/>
      </c>
      <c r="E27" s="19" t="s">
        <v>153</v>
      </c>
      <c r="F27" s="20"/>
      <c r="G27" s="25"/>
      <c r="H27" s="3"/>
      <c r="I27" s="31" t="s">
        <v>152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HYPERLINK("https://www.youtube.com/shorts/taUhr2s8Sf0","Link")</f>
        <v>Link</v>
      </c>
      <c r="H30" s="3"/>
      <c r="I30" s="22" t="s">
        <v>78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79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 t="shared" ref="D32:D33" si="3"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80</v>
      </c>
      <c r="K32" s="23"/>
      <c r="L32" s="24"/>
    </row>
    <row r="33" ht="21.75" customHeight="1">
      <c r="A33" s="3"/>
      <c r="B33" s="32"/>
      <c r="C33" s="17" t="s">
        <v>60</v>
      </c>
      <c r="D33" s="18" t="str">
        <f t="shared" si="3"/>
        <v/>
      </c>
      <c r="E33" s="19" t="s">
        <v>66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152</v>
      </c>
    </row>
    <row r="36" ht="31.5" customHeight="1">
      <c r="A36" s="3"/>
      <c r="B36" s="30" t="s">
        <v>106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125</v>
      </c>
      <c r="C38" s="17" t="s">
        <v>48</v>
      </c>
      <c r="D38" s="18" t="str">
        <f>IF(ISNUMBER($B$41),IF(OR($J$41="",$J$41=0),$B$41*0.7,ROUNDDOWN($B$41*0.7/$J$41,0)*$J$41),"")</f>
        <v/>
      </c>
      <c r="E38" s="19" t="s">
        <v>49</v>
      </c>
      <c r="F38" s="20"/>
      <c r="G38" s="21" t="str">
        <f>HYPERLINK("https://www.youtube.com/watch?v=hQOfjxHnRvg","Link")</f>
        <v>Link</v>
      </c>
      <c r="H38" s="3"/>
      <c r="I38" s="22" t="s">
        <v>125</v>
      </c>
      <c r="J38" s="23"/>
      <c r="K38" s="23"/>
      <c r="L38" s="24"/>
    </row>
    <row r="39" ht="21.75" customHeight="1">
      <c r="A39" s="3"/>
      <c r="B39" s="25"/>
      <c r="C39" s="17" t="s">
        <v>53</v>
      </c>
      <c r="D39" s="18" t="str">
        <f>IF(ISNUMBER($B$41),IF(OR($J$41="",$J$41=0),$B$41*0.85,ROUNDDOWN($B$41*0.85/$J$41,0)*$J$41),"")</f>
        <v/>
      </c>
      <c r="E39" s="19" t="s">
        <v>49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56</v>
      </c>
      <c r="D40" s="18" t="str">
        <f t="shared" ref="D40:D42" si="4">IF(ISNUMBER($B$41),IF(OR($J$41="",$J$41=0),$B$41*1,ROUNDDOWN($B$41*1/$J$41,0)*$J$41),"")</f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60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 t="s">
        <v>62</v>
      </c>
      <c r="D42" s="18" t="str">
        <f t="shared" si="4"/>
        <v/>
      </c>
      <c r="E42" s="19" t="s">
        <v>57</v>
      </c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152</v>
      </c>
    </row>
    <row r="44" ht="31.5" customHeight="1">
      <c r="A44" s="3"/>
      <c r="B44" s="30" t="s">
        <v>126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72</v>
      </c>
      <c r="C46" s="17" t="s">
        <v>48</v>
      </c>
      <c r="D46" s="18" t="str">
        <f>IF(ISNUMBER($B$49),IF(OR($J$49="",$J$49=0),$B$49*0.7,ROUNDDOWN($B$49*0.7/$J$49,0)*$J$49),"")</f>
        <v/>
      </c>
      <c r="E46" s="19" t="s">
        <v>49</v>
      </c>
      <c r="F46" s="20"/>
      <c r="G46" s="21" t="str">
        <f>HYPERLINK("https://www.youtube.com/watch?v=m0FOpMEgero","Link")</f>
        <v>Link</v>
      </c>
      <c r="H46" s="3"/>
      <c r="I46" s="22" t="s">
        <v>72</v>
      </c>
      <c r="J46" s="23"/>
      <c r="K46" s="23"/>
      <c r="L46" s="24"/>
    </row>
    <row r="47" ht="21.75" customHeight="1">
      <c r="A47" s="3"/>
      <c r="B47" s="25"/>
      <c r="C47" s="17" t="s">
        <v>53</v>
      </c>
      <c r="D47" s="18" t="str">
        <f>IF(ISNUMBER($B$49),IF(OR($J$49="",$J$49=0),$B$49*0.85,ROUNDDOWN($B$49*0.85/$J$49,0)*$J$49),"")</f>
        <v/>
      </c>
      <c r="E47" s="19" t="s">
        <v>49</v>
      </c>
      <c r="F47" s="20"/>
      <c r="G47" s="26"/>
      <c r="H47" s="3"/>
      <c r="I47" s="3" t="s">
        <v>50</v>
      </c>
      <c r="J47" s="27" t="s">
        <v>51</v>
      </c>
      <c r="K47" s="23"/>
      <c r="L47" s="24"/>
    </row>
    <row r="48" ht="24.75" customHeight="1">
      <c r="A48" s="3"/>
      <c r="B48" s="15" t="s">
        <v>52</v>
      </c>
      <c r="C48" s="17" t="s">
        <v>56</v>
      </c>
      <c r="D48" s="18" t="str">
        <f t="shared" ref="D48:D49" si="5">IF(ISNUMBER($B$49),IF(OR($J$49="",$J$49=0),$B$49*1,ROUNDDOWN($B$49*1/$J$49,0)*$J$49),"")</f>
        <v/>
      </c>
      <c r="E48" s="19" t="s">
        <v>66</v>
      </c>
      <c r="F48" s="20"/>
      <c r="G48" s="26"/>
      <c r="H48" s="3"/>
      <c r="I48" s="3" t="s">
        <v>54</v>
      </c>
      <c r="J48" s="27" t="s">
        <v>55</v>
      </c>
      <c r="K48" s="23"/>
      <c r="L48" s="24"/>
    </row>
    <row r="49" ht="21.75" customHeight="1">
      <c r="A49" s="3"/>
      <c r="B49" s="32"/>
      <c r="C49" s="17" t="s">
        <v>60</v>
      </c>
      <c r="D49" s="18" t="str">
        <f t="shared" si="5"/>
        <v/>
      </c>
      <c r="E49" s="19" t="s">
        <v>66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1.75" customHeight="1">
      <c r="A51" s="3"/>
      <c r="B51" s="25"/>
      <c r="C51" s="17"/>
      <c r="D51" s="18"/>
      <c r="E51" s="19"/>
      <c r="F51" s="20"/>
      <c r="G51" s="25"/>
      <c r="H51" s="3"/>
      <c r="I51" s="31" t="s">
        <v>152</v>
      </c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J40:L40"/>
    <mergeCell ref="I42:L42"/>
    <mergeCell ref="I43:L43"/>
    <mergeCell ref="I46:L46"/>
    <mergeCell ref="J47:L47"/>
    <mergeCell ref="J48:L48"/>
    <mergeCell ref="I50:L50"/>
    <mergeCell ref="I51:L51"/>
    <mergeCell ref="G30:G35"/>
    <mergeCell ref="I30:L30"/>
    <mergeCell ref="J31:L31"/>
    <mergeCell ref="J32:L32"/>
    <mergeCell ref="I34:L34"/>
    <mergeCell ref="I35:L35"/>
    <mergeCell ref="B36:G36"/>
    <mergeCell ref="B49:B51"/>
    <mergeCell ref="B54:E54"/>
    <mergeCell ref="F54:G54"/>
    <mergeCell ref="B33:B35"/>
    <mergeCell ref="B38:B39"/>
    <mergeCell ref="G38:G43"/>
    <mergeCell ref="B41:B43"/>
    <mergeCell ref="B44:G44"/>
    <mergeCell ref="B46:B47"/>
    <mergeCell ref="G46:G51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F6:F9 J9 L9 B17 F14:F17 J17 L17 B25 J25 L25 F22:F27 B33 F30:F33 J33 L33 B41 J41 L41 F38:F42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154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128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 t="shared" ref="D10:D11" si="1"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60</v>
      </c>
      <c r="D11" s="18" t="str">
        <f t="shared" si="1"/>
        <v/>
      </c>
      <c r="E11" s="19" t="s">
        <v>66</v>
      </c>
      <c r="F11" s="20"/>
      <c r="G11" s="26"/>
      <c r="H11" s="3"/>
      <c r="I11" s="31" t="s">
        <v>146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2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2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2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146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27" t="s">
        <v>51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 t="shared" ref="D25:D26" si="3"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60</v>
      </c>
      <c r="D26" s="18" t="str">
        <f t="shared" si="3"/>
        <v/>
      </c>
      <c r="E26" s="19" t="s">
        <v>66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 t="s">
        <v>89</v>
      </c>
      <c r="D27" s="18" t="str">
        <f>IF(ISNUMBER($B$26),IF(OR($J$26="",$J$26=0),$B$26*0.75,ROUNDDOWN($B$26*0.75/$J$26,0)*$J$26),"")</f>
        <v/>
      </c>
      <c r="E27" s="19" t="s">
        <v>57</v>
      </c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146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146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4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27" t="s">
        <v>51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4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4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146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5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5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5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146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J26 L26 F23:F27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155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36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156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73</v>
      </c>
      <c r="D17" s="18" t="str">
        <f>IF(ISNUMBER($B$17),IF(OR($J$17="",$J$17=0),$B$17*1.1,ROUNDDOWN($B$17*1.1/$J$17,0)*$J$17),"")</f>
        <v/>
      </c>
      <c r="E17" s="19" t="s">
        <v>74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/>
      <c r="D18" s="18"/>
      <c r="E18" s="19"/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156</v>
      </c>
    </row>
    <row r="20" ht="21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67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HYPERLINK("https://www.youtube.com/watch?v=rYgNArpwE7E","Link")</f>
        <v>Link</v>
      </c>
      <c r="H22" s="3"/>
      <c r="I22" s="22" t="s">
        <v>67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2"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2"/>
        <v/>
      </c>
      <c r="E26" s="19" t="s">
        <v>66</v>
      </c>
      <c r="F26" s="20"/>
      <c r="G26" s="26"/>
      <c r="H26" s="3"/>
      <c r="I26" s="30" t="s">
        <v>61</v>
      </c>
    </row>
    <row r="27" ht="27.75" customHeight="1">
      <c r="A27" s="3"/>
      <c r="B27" s="25"/>
      <c r="C27" s="17" t="s">
        <v>89</v>
      </c>
      <c r="D27" s="18" t="str">
        <f>IF(ISNUMBER($B$25),IF(OR($J$25="",$J$25=0),$B$25*0.75,ROUNDDOWN($B$25*0.75/$J$25,0)*$J$25),"")</f>
        <v/>
      </c>
      <c r="E27" s="19" t="s">
        <v>57</v>
      </c>
      <c r="F27" s="20"/>
      <c r="G27" s="25"/>
      <c r="H27" s="3"/>
      <c r="I27" s="30" t="s">
        <v>70</v>
      </c>
    </row>
    <row r="28" ht="31.5" customHeight="1">
      <c r="A28" s="3"/>
      <c r="B28" s="30" t="s">
        <v>71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72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HYPERLINK("https://www.youtube.com/watch?v=m0FOpMEgero","Link")</f>
        <v>Link</v>
      </c>
      <c r="H30" s="3"/>
      <c r="I30" s="22" t="s">
        <v>72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51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156</v>
      </c>
    </row>
    <row r="36" ht="21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75</v>
      </c>
      <c r="C38" s="17" t="s">
        <v>48</v>
      </c>
      <c r="D38" s="18" t="str">
        <f>IF(ISNUMBER($B$41),IF(OR($J$41="",$J$41=0),$B$41*0.7,ROUNDDOWN($B$41*0.7/$J$41,0)*$J$41),"")</f>
        <v/>
      </c>
      <c r="E38" s="19" t="s">
        <v>49</v>
      </c>
      <c r="F38" s="20"/>
      <c r="G38" s="21" t="str">
        <f>HYPERLINK("https://www.youtube.com/watch?v=9-JxC8XYqcI","Link")</f>
        <v>Link</v>
      </c>
      <c r="H38" s="3"/>
      <c r="I38" s="22" t="s">
        <v>75</v>
      </c>
      <c r="J38" s="23"/>
      <c r="K38" s="23"/>
      <c r="L38" s="24"/>
    </row>
    <row r="39" ht="21.75" customHeight="1">
      <c r="A39" s="3"/>
      <c r="B39" s="25"/>
      <c r="C39" s="17" t="s">
        <v>53</v>
      </c>
      <c r="D39" s="18" t="str">
        <f>IF(ISNUMBER($B$41),IF(OR($J$41="",$J$41=0),$B$41*0.85,ROUNDDOWN($B$41*0.85/$J$41,0)*$J$41),"")</f>
        <v/>
      </c>
      <c r="E39" s="19" t="s">
        <v>49</v>
      </c>
      <c r="F39" s="20"/>
      <c r="G39" s="26"/>
      <c r="H39" s="3"/>
      <c r="I39" s="3" t="s">
        <v>50</v>
      </c>
      <c r="J39" s="27" t="s">
        <v>51</v>
      </c>
      <c r="K39" s="23"/>
      <c r="L39" s="24"/>
    </row>
    <row r="40" ht="24.75" customHeight="1">
      <c r="A40" s="3"/>
      <c r="B40" s="15" t="s">
        <v>52</v>
      </c>
      <c r="C40" s="17" t="s">
        <v>56</v>
      </c>
      <c r="D40" s="18" t="str">
        <f>IF(ISNUMBER($B$41),IF(OR($J$41="",$J$41=0),$B$41*1,ROUNDDOWN($B$41*1/$J$41,0)*$J$41),"")</f>
        <v/>
      </c>
      <c r="E40" s="19" t="s">
        <v>66</v>
      </c>
      <c r="F40" s="20"/>
      <c r="G40" s="26"/>
      <c r="H40" s="3"/>
      <c r="I40" s="3" t="s">
        <v>54</v>
      </c>
      <c r="J40" s="27" t="s">
        <v>76</v>
      </c>
      <c r="K40" s="23"/>
      <c r="L40" s="24"/>
    </row>
    <row r="41" ht="21.75" customHeight="1">
      <c r="A41" s="3"/>
      <c r="B41" s="32"/>
      <c r="C41" s="17" t="s">
        <v>73</v>
      </c>
      <c r="D41" s="18" t="str">
        <f>IF(ISNUMBER($B$41),IF(OR($J$41="",$J$41=0),$B$41*1.1,ROUNDDOWN($B$41*1.1/$J$41,0)*$J$41),"")</f>
        <v/>
      </c>
      <c r="E41" s="19" t="s">
        <v>74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7.75" customHeight="1">
      <c r="A43" s="3"/>
      <c r="B43" s="25"/>
      <c r="C43" s="17"/>
      <c r="D43" s="18"/>
      <c r="E43" s="19"/>
      <c r="F43" s="20"/>
      <c r="G43" s="25"/>
      <c r="H43" s="3"/>
      <c r="I43" s="30" t="s">
        <v>70</v>
      </c>
    </row>
    <row r="44" ht="31.5" customHeight="1">
      <c r="A44" s="3"/>
      <c r="B44" s="30" t="s">
        <v>77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78</v>
      </c>
      <c r="C46" s="17" t="s">
        <v>48</v>
      </c>
      <c r="D46" s="18" t="str">
        <f>IF(ISNUMBER($B$49),IF(OR($J$49="",$J$49=0),$B$49*0.85,ROUNDDOWN($B$49*0.85/$J$49,0)*$J$49),"")</f>
        <v/>
      </c>
      <c r="E46" s="19" t="s">
        <v>49</v>
      </c>
      <c r="F46" s="20"/>
      <c r="G46" s="21" t="str">
        <f>HYPERLINK("https://www.youtube.com/shorts/taUhr2s8Sf0","Link")</f>
        <v>Link</v>
      </c>
      <c r="H46" s="3"/>
      <c r="I46" s="22" t="s">
        <v>78</v>
      </c>
      <c r="J46" s="23"/>
      <c r="K46" s="23"/>
      <c r="L46" s="24"/>
    </row>
    <row r="47" ht="21.75" customHeight="1">
      <c r="A47" s="3"/>
      <c r="B47" s="25"/>
      <c r="C47" s="17" t="s">
        <v>56</v>
      </c>
      <c r="D47" s="18" t="str">
        <f t="shared" ref="D47:D49" si="3">IF(ISNUMBER($B$49),IF(OR($J$49="",$J$49=0),$B$49*1,ROUNDDOWN($B$49*1/$J$49,0)*$J$49),"")</f>
        <v/>
      </c>
      <c r="E47" s="19" t="s">
        <v>57</v>
      </c>
      <c r="F47" s="20"/>
      <c r="G47" s="26"/>
      <c r="H47" s="3"/>
      <c r="I47" s="3" t="s">
        <v>50</v>
      </c>
      <c r="J47" s="27" t="s">
        <v>79</v>
      </c>
      <c r="K47" s="23"/>
      <c r="L47" s="24"/>
    </row>
    <row r="48" ht="24.75" customHeight="1">
      <c r="A48" s="3"/>
      <c r="B48" s="15" t="s">
        <v>52</v>
      </c>
      <c r="C48" s="17" t="s">
        <v>60</v>
      </c>
      <c r="D48" s="18" t="str">
        <f t="shared" si="3"/>
        <v/>
      </c>
      <c r="E48" s="19" t="s">
        <v>57</v>
      </c>
      <c r="F48" s="20"/>
      <c r="G48" s="26"/>
      <c r="H48" s="3"/>
      <c r="I48" s="3" t="s">
        <v>54</v>
      </c>
      <c r="J48" s="27" t="s">
        <v>80</v>
      </c>
      <c r="K48" s="23"/>
      <c r="L48" s="24"/>
    </row>
    <row r="49" ht="21.75" customHeight="1">
      <c r="A49" s="3"/>
      <c r="B49" s="32"/>
      <c r="C49" s="17" t="s">
        <v>62</v>
      </c>
      <c r="D49" s="18" t="str">
        <f t="shared" si="3"/>
        <v/>
      </c>
      <c r="E49" s="19" t="s">
        <v>57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7.75" customHeight="1">
      <c r="A51" s="3"/>
      <c r="B51" s="25"/>
      <c r="C51" s="17"/>
      <c r="D51" s="18"/>
      <c r="E51" s="19"/>
      <c r="F51" s="20"/>
      <c r="G51" s="25"/>
      <c r="H51" s="3"/>
      <c r="I51" s="30" t="s">
        <v>70</v>
      </c>
    </row>
    <row r="52" ht="31.5" customHeight="1">
      <c r="A52" s="3"/>
      <c r="B52" s="30" t="s">
        <v>81</v>
      </c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42:L42"/>
    <mergeCell ref="I43:L43"/>
    <mergeCell ref="J31:L31"/>
    <mergeCell ref="J32:L32"/>
    <mergeCell ref="I34:L34"/>
    <mergeCell ref="I35:L35"/>
    <mergeCell ref="I38:L38"/>
    <mergeCell ref="J39:L39"/>
    <mergeCell ref="J40:L40"/>
    <mergeCell ref="I22:L22"/>
    <mergeCell ref="J23:L23"/>
    <mergeCell ref="J24:L24"/>
    <mergeCell ref="I26:L26"/>
    <mergeCell ref="I27:L27"/>
    <mergeCell ref="B28:G28"/>
    <mergeCell ref="I30:L30"/>
    <mergeCell ref="B33:B35"/>
    <mergeCell ref="B38:B39"/>
    <mergeCell ref="B41:B43"/>
    <mergeCell ref="B44:G44"/>
    <mergeCell ref="I46:L46"/>
    <mergeCell ref="J47:L47"/>
    <mergeCell ref="J48:L48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G14:G19"/>
    <mergeCell ref="G22:G27"/>
    <mergeCell ref="G30:G35"/>
    <mergeCell ref="G38:G43"/>
    <mergeCell ref="G46:G51"/>
    <mergeCell ref="I10:L10"/>
    <mergeCell ref="I11:L11"/>
    <mergeCell ref="I14:L14"/>
    <mergeCell ref="J15:L15"/>
    <mergeCell ref="J16:L16"/>
    <mergeCell ref="I18:L18"/>
    <mergeCell ref="I19:L19"/>
    <mergeCell ref="B46:B47"/>
    <mergeCell ref="B49:B51"/>
    <mergeCell ref="B6:B7"/>
    <mergeCell ref="B9:B11"/>
    <mergeCell ref="B14:B15"/>
    <mergeCell ref="B17:B19"/>
    <mergeCell ref="B22:B23"/>
    <mergeCell ref="B25:B27"/>
    <mergeCell ref="B30:B31"/>
    <mergeCell ref="I50:L50"/>
    <mergeCell ref="I51:L51"/>
    <mergeCell ref="B52:G52"/>
    <mergeCell ref="B54:E54"/>
    <mergeCell ref="F54:G54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J9 L9 F6:F11 B17 F14:F17 J17 L17 B25 J25 L25 F22:F27 B33 F30:F33 J33 L33 B41 F38:F41 J41 L41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157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132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158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 t="shared" ref="D16:D17" si="2"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60</v>
      </c>
      <c r="D17" s="18" t="str">
        <f t="shared" si="2"/>
        <v/>
      </c>
      <c r="E17" s="19" t="s">
        <v>66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 t="s">
        <v>89</v>
      </c>
      <c r="D18" s="18" t="str">
        <f>IF(ISNUMBER($B$17),IF(OR($J$17="",$J$17=0),$B$17*0.75,ROUNDDOWN($B$17*0.75/$J$17,0)*$J$17),"")</f>
        <v/>
      </c>
      <c r="E18" s="19" t="s">
        <v>57</v>
      </c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158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IF(ISNUMBER($B$25),IF(OR($J$25="",$J$25=0),$B$25*0.7,ROUNDDOWN($B$25*0.7/$J$25,0)*$J$25),"")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IF(ISNUMBER($B$25),IF(OR($J$25="",$J$25=0),$B$25*0.85,ROUNDDOWN($B$25*0.85/$J$25,0)*$J$25),"")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56</v>
      </c>
      <c r="D24" s="18" t="str">
        <f>IF(ISNUMBER($B$25),IF(OR($J$25="",$J$25=0),$B$25*1,ROUNDDOWN($B$25*1/$J$25,0)*$J$25),"")</f>
        <v/>
      </c>
      <c r="E24" s="19" t="s">
        <v>66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 t="s">
        <v>73</v>
      </c>
      <c r="D25" s="18" t="str">
        <f>IF(ISNUMBER($B$25),IF(OR($J$25="",$J$25=0),$B$25*1.1,ROUNDDOWN($B$25*1.1/$J$25,0)*$J$25),"")</f>
        <v/>
      </c>
      <c r="E25" s="19" t="s">
        <v>74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158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3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3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3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158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4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4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158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J17 L17 F14:F18 B25 F22:F25 J25 L25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159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104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48</v>
      </c>
      <c r="D7" s="18">
        <f>IF(ISNUMBER($B$9),IF(OR($J$9="",$J$9=0),$B$9*0.7,ROUNDDOWN($B$9*0.7/$J$9,0)*$J$9),"")</f>
        <v>3.5</v>
      </c>
      <c r="E7" s="19" t="s">
        <v>49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>
        <f>IF(ISNUMBER($B$9),IF(OR($J$9="",$J$9=0),$B$9*0.85,ROUNDDOWN($B$9*0.85/$J$9,0)*$J$9),"")</f>
        <v>4.25</v>
      </c>
      <c r="E8" s="19" t="s">
        <v>49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56</v>
      </c>
      <c r="D9" s="18">
        <f t="shared" ref="D9:D11" si="1">IF(ISNUMBER($B$9),IF(OR($J$9="",$J$9=0),$B$9*1,ROUNDDOWN($B$9*1/$J$9,0)*$J$9),"")</f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>
        <f t="shared" si="1"/>
        <v>5</v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>
        <f t="shared" si="1"/>
        <v>5</v>
      </c>
      <c r="E11" s="19" t="s">
        <v>57</v>
      </c>
      <c r="F11" s="20"/>
      <c r="G11" s="25"/>
      <c r="H11" s="3"/>
      <c r="I11" s="31" t="s">
        <v>160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78</v>
      </c>
      <c r="C14" s="17" t="s">
        <v>48</v>
      </c>
      <c r="D14" s="18" t="str">
        <f>IF(ISNUMBER($B$17),IF(OR($J$17="",$J$17=0),$B$17*0.5,ROUNDDOWN($B$17*0.5/$J$17,0)*$J$17),"")</f>
        <v/>
      </c>
      <c r="E14" s="19" t="s">
        <v>49</v>
      </c>
      <c r="F14" s="20"/>
      <c r="G14" s="21" t="str">
        <f>HYPERLINK("https://www.youtube.com/shorts/taUhr2s8Sf0","Link")</f>
        <v>Link</v>
      </c>
      <c r="H14" s="3"/>
      <c r="I14" s="22" t="s">
        <v>78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IF(ISNUMBER($B$17),IF(OR($J$17="",$J$17=0),$B$17*0.7,ROUNDDOWN($B$17*0.7/$J$17,0)*$J$17),"")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79</v>
      </c>
      <c r="K15" s="23"/>
      <c r="L15" s="24"/>
    </row>
    <row r="16" ht="24.75" customHeight="1">
      <c r="A16" s="3"/>
      <c r="B16" s="15" t="s">
        <v>52</v>
      </c>
      <c r="C16" s="17" t="s">
        <v>68</v>
      </c>
      <c r="D16" s="18" t="str">
        <f>IF(ISNUMBER($B$17),IF(OR($J$17="",$J$17=0),$B$17*0.85,ROUNDDOWN($B$17*0.85/$J$17,0)*$J$17),"")</f>
        <v/>
      </c>
      <c r="E16" s="19" t="s">
        <v>49</v>
      </c>
      <c r="F16" s="20"/>
      <c r="G16" s="26"/>
      <c r="H16" s="3"/>
      <c r="I16" s="3" t="s">
        <v>54</v>
      </c>
      <c r="J16" s="27" t="s">
        <v>80</v>
      </c>
      <c r="K16" s="23"/>
      <c r="L16" s="24"/>
    </row>
    <row r="17" ht="21.75" customHeight="1">
      <c r="A17" s="3"/>
      <c r="B17" s="32"/>
      <c r="C17" s="17" t="s">
        <v>56</v>
      </c>
      <c r="D17" s="18" t="str">
        <f>IF(ISNUMBER($B$17),IF(OR($J$17="",$J$17=0),$B$17*1,ROUNDDOWN($B$17*1/$J$17,0)*$J$17),"")</f>
        <v/>
      </c>
      <c r="E17" s="19" t="s">
        <v>66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 t="s">
        <v>73</v>
      </c>
      <c r="D18" s="18" t="str">
        <f>IF(ISNUMBER($B$17),IF(OR($J$17="",$J$17=0),$B$17*1.1,ROUNDDOWN($B$17*1.1/$J$17,0)*$J$17),"")</f>
        <v/>
      </c>
      <c r="E18" s="19" t="s">
        <v>74</v>
      </c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160</v>
      </c>
    </row>
    <row r="20" ht="31.5" customHeight="1">
      <c r="A20" s="3"/>
      <c r="B20" s="30" t="s">
        <v>106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107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HYPERLINK("https://www.youtube.com/watch?v=hYKoCUczAY4","Link")</f>
        <v>Link</v>
      </c>
      <c r="H22" s="3"/>
      <c r="I22" s="22" t="s">
        <v>107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69</v>
      </c>
      <c r="K24" s="23"/>
      <c r="L24" s="24"/>
    </row>
    <row r="25" ht="21.75" customHeight="1">
      <c r="A25" s="3"/>
      <c r="B25" s="32"/>
      <c r="C25" s="17" t="s">
        <v>56</v>
      </c>
      <c r="D25" s="18" t="str">
        <f>IF(ISNUMBER($B$25),IF(OR($J$25="",$J$25=0),$B$25*1,ROUNDDOWN($B$25*1/$J$25,0)*$J$25),"")</f>
        <v/>
      </c>
      <c r="E25" s="19" t="s">
        <v>66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73</v>
      </c>
      <c r="D26" s="18" t="str">
        <f>IF(ISNUMBER($B$25),IF(OR($J$25="",$J$25=0),$B$25*1.1,ROUNDDOWN($B$25*1.1/$J$25,0)*$J$25),"")</f>
        <v/>
      </c>
      <c r="E26" s="19" t="s">
        <v>74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160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108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HYPERLINK("https://www.youtube.com/shorts/U3prDlAbJDw","Link")</f>
        <v>Link</v>
      </c>
      <c r="H30" s="3"/>
      <c r="I30" s="22" t="s">
        <v>108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92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93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160</v>
      </c>
    </row>
    <row r="36" ht="31.5" customHeight="1">
      <c r="A36" s="3"/>
      <c r="B36" s="30" t="s">
        <v>109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.5" customHeight="1">
      <c r="A38" s="3"/>
      <c r="F38" s="35"/>
    </row>
    <row r="39" ht="1.5" customHeight="1">
      <c r="A39" s="3"/>
      <c r="F39" s="35"/>
      <c r="J39" s="35"/>
    </row>
    <row r="40" ht="1.5" customHeight="1">
      <c r="A40" s="3"/>
      <c r="F40" s="35"/>
      <c r="J40" s="35"/>
    </row>
    <row r="41" ht="1.5" customHeight="1">
      <c r="A41" s="3"/>
      <c r="B41" s="35"/>
      <c r="F41" s="35"/>
      <c r="J41" s="35"/>
      <c r="L41" s="35"/>
    </row>
    <row r="42" ht="1.5" customHeight="1">
      <c r="A42" s="3"/>
    </row>
    <row r="43" ht="1.5" customHeight="1">
      <c r="A43" s="3"/>
    </row>
    <row r="44" ht="1.5" customHeight="1">
      <c r="A44" s="3"/>
    </row>
    <row r="45" ht="1.5" customHeight="1">
      <c r="A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I6:L6"/>
    <mergeCell ref="J7:L7"/>
    <mergeCell ref="B6:B7"/>
    <mergeCell ref="B9:B11"/>
    <mergeCell ref="B14:B15"/>
    <mergeCell ref="B17:B19"/>
    <mergeCell ref="B22:B23"/>
    <mergeCell ref="B25:B27"/>
    <mergeCell ref="B30:B31"/>
    <mergeCell ref="B33:B35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46:E46"/>
    <mergeCell ref="F46:G46"/>
    <mergeCell ref="G30:G35"/>
    <mergeCell ref="I30:L30"/>
    <mergeCell ref="J31:L31"/>
    <mergeCell ref="J32:L32"/>
    <mergeCell ref="I34:L34"/>
    <mergeCell ref="I35:L35"/>
    <mergeCell ref="B36:G36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J17 L17 F14:F18 B25 J25 L25 F22:F26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161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137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86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HYPERLINK("https://www.youtube.com/watch?v=TrTSvn5-MTk","Link")</f>
        <v>Link</v>
      </c>
      <c r="H6" s="3"/>
      <c r="I6" s="22" t="s">
        <v>86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IF(ISNUMBER($B$9),IF(OR($J$9="",$J$9=0),$B$9*0.5,ROUNDDOWN($B$9*0.5/$J$9,0)*$J$9),"")</f>
        <v/>
      </c>
      <c r="E7" s="19" t="s">
        <v>87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IF(ISNUMBER($B$9),IF(OR($J$9="",$J$9=0),$B$9*0.7,ROUNDDOWN($B$9*0.7/$J$9,0)*$J$9),"")</f>
        <v/>
      </c>
      <c r="E8" s="19" t="s">
        <v>87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32"/>
      <c r="C9" s="17" t="s">
        <v>68</v>
      </c>
      <c r="D9" s="18" t="str">
        <f>IF(ISNUMBER($B$9),IF(OR($J$9="",$J$9=0),$B$9*0.85,ROUNDDOWN($B$9*0.85/$J$9,0)*$J$9),"")</f>
        <v/>
      </c>
      <c r="E9" s="19" t="s">
        <v>87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56</v>
      </c>
      <c r="D10" s="18" t="str">
        <f t="shared" ref="D10:D11" si="1">IF(ISNUMBER($B$9),IF(OR($J$9="",$J$9=0),$B$9*1,ROUNDDOWN($B$9*1/$J$9,0)*$J$9),"")</f>
        <v/>
      </c>
      <c r="E10" s="19" t="s">
        <v>66</v>
      </c>
      <c r="F10" s="20"/>
      <c r="G10" s="26"/>
      <c r="H10" s="3"/>
      <c r="I10" s="30" t="s">
        <v>61</v>
      </c>
    </row>
    <row r="11" ht="21.75" customHeight="1">
      <c r="A11" s="3"/>
      <c r="B11" s="26"/>
      <c r="C11" s="17" t="s">
        <v>60</v>
      </c>
      <c r="D11" s="18" t="str">
        <f t="shared" si="1"/>
        <v/>
      </c>
      <c r="E11" s="19" t="s">
        <v>66</v>
      </c>
      <c r="F11" s="20"/>
      <c r="G11" s="26"/>
      <c r="H11" s="3"/>
      <c r="I11" s="31" t="s">
        <v>162</v>
      </c>
    </row>
    <row r="12" ht="21.75" customHeight="1">
      <c r="A12" s="3"/>
      <c r="B12" s="25"/>
      <c r="C12" s="17" t="s">
        <v>89</v>
      </c>
      <c r="D12" s="18" t="str">
        <f>IF(ISNUMBER($B$9),IF(OR($J$9="",$J$9=0),$B$9*0.75,ROUNDDOWN($B$9*0.75/$J$9,0)*$J$9),"")</f>
        <v/>
      </c>
      <c r="E12" s="19" t="s">
        <v>57</v>
      </c>
      <c r="F12" s="20"/>
      <c r="G12" s="25"/>
      <c r="H12" s="3"/>
      <c r="I12" s="3"/>
      <c r="J12" s="3"/>
      <c r="K12" s="3"/>
      <c r="L12" s="3"/>
    </row>
    <row r="13" ht="31.5" customHeight="1">
      <c r="A13" s="3"/>
      <c r="B13" s="30" t="s">
        <v>90</v>
      </c>
      <c r="H13" s="3"/>
      <c r="I13" s="3"/>
      <c r="J13" s="3"/>
      <c r="K13" s="3"/>
      <c r="L13" s="3"/>
    </row>
    <row r="14" ht="21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30.0" customHeight="1">
      <c r="A15" s="3"/>
      <c r="B15" s="16" t="s">
        <v>91</v>
      </c>
      <c r="C15" s="17" t="s">
        <v>48</v>
      </c>
      <c r="D15" s="18" t="str">
        <f>IF(ISNUMBER($B$18),IF(OR($J$18="",$J$18=0),$B$18*0.7,ROUNDDOWN($B$18*0.7/$J$18,0)*$J$18),"")</f>
        <v/>
      </c>
      <c r="E15" s="19" t="s">
        <v>87</v>
      </c>
      <c r="F15" s="20"/>
      <c r="G15" s="21" t="str">
        <f>HYPERLINK("https://www.youtube.com/shorts/Qy-zXcgZHWU","Link")</f>
        <v>Link</v>
      </c>
      <c r="H15" s="3"/>
      <c r="I15" s="22" t="s">
        <v>91</v>
      </c>
      <c r="J15" s="23"/>
      <c r="K15" s="23"/>
      <c r="L15" s="24"/>
    </row>
    <row r="16" ht="21.75" customHeight="1">
      <c r="A16" s="3"/>
      <c r="B16" s="25"/>
      <c r="C16" s="17" t="s">
        <v>53</v>
      </c>
      <c r="D16" s="18" t="str">
        <f>IF(ISNUMBER($B$18),IF(OR($J$18="",$J$18=0),$B$18*0.85,ROUNDDOWN($B$18*0.85/$J$18,0)*$J$18),"")</f>
        <v/>
      </c>
      <c r="E16" s="19" t="s">
        <v>87</v>
      </c>
      <c r="F16" s="20"/>
      <c r="G16" s="26"/>
      <c r="H16" s="3"/>
      <c r="I16" s="3" t="s">
        <v>50</v>
      </c>
      <c r="J16" s="27" t="s">
        <v>92</v>
      </c>
      <c r="K16" s="23"/>
      <c r="L16" s="24"/>
    </row>
    <row r="17" ht="24.75" customHeight="1">
      <c r="A17" s="3"/>
      <c r="B17" s="15" t="s">
        <v>52</v>
      </c>
      <c r="C17" s="17" t="s">
        <v>56</v>
      </c>
      <c r="D17" s="18" t="str">
        <f t="shared" ref="D17:D19" si="2">IF(ISNUMBER($B$18),IF(OR($J$18="",$J$18=0),$B$18*1,ROUNDDOWN($B$18*1/$J$18,0)*$J$18),"")</f>
        <v/>
      </c>
      <c r="E17" s="19" t="s">
        <v>57</v>
      </c>
      <c r="F17" s="20"/>
      <c r="G17" s="26"/>
      <c r="H17" s="3"/>
      <c r="I17" s="3" t="s">
        <v>54</v>
      </c>
      <c r="J17" s="27" t="s">
        <v>93</v>
      </c>
      <c r="K17" s="23"/>
      <c r="L17" s="24"/>
    </row>
    <row r="18" ht="21.75" customHeight="1">
      <c r="A18" s="3"/>
      <c r="B18" s="32"/>
      <c r="C18" s="17" t="s">
        <v>60</v>
      </c>
      <c r="D18" s="18" t="str">
        <f t="shared" si="2"/>
        <v/>
      </c>
      <c r="E18" s="19" t="s">
        <v>57</v>
      </c>
      <c r="F18" s="20"/>
      <c r="G18" s="26"/>
      <c r="H18" s="3"/>
      <c r="I18" s="3" t="s">
        <v>58</v>
      </c>
      <c r="J18" s="29"/>
      <c r="K18" s="29" t="s">
        <v>59</v>
      </c>
      <c r="L18" s="29"/>
    </row>
    <row r="19" ht="27.75" customHeight="1">
      <c r="A19" s="3"/>
      <c r="B19" s="26"/>
      <c r="C19" s="17" t="s">
        <v>62</v>
      </c>
      <c r="D19" s="18" t="str">
        <f t="shared" si="2"/>
        <v/>
      </c>
      <c r="E19" s="19" t="s">
        <v>57</v>
      </c>
      <c r="F19" s="20"/>
      <c r="G19" s="26"/>
      <c r="H19" s="3"/>
      <c r="I19" s="30" t="s">
        <v>61</v>
      </c>
    </row>
    <row r="20" ht="21.75" customHeight="1">
      <c r="A20" s="3"/>
      <c r="B20" s="25"/>
      <c r="C20" s="17"/>
      <c r="D20" s="18"/>
      <c r="E20" s="19"/>
      <c r="F20" s="20"/>
      <c r="G20" s="25"/>
      <c r="H20" s="3"/>
      <c r="I20" s="31" t="s">
        <v>162</v>
      </c>
    </row>
    <row r="21" ht="31.5" customHeight="1">
      <c r="A21" s="3"/>
      <c r="B21" s="30" t="s">
        <v>94</v>
      </c>
      <c r="H21" s="3"/>
      <c r="I21" s="3"/>
      <c r="J21" s="3"/>
      <c r="K21" s="3"/>
      <c r="L21" s="3"/>
    </row>
    <row r="22" ht="21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30.0" customHeight="1">
      <c r="A23" s="3"/>
      <c r="B23" s="16" t="s">
        <v>95</v>
      </c>
      <c r="C23" s="17" t="s">
        <v>48</v>
      </c>
      <c r="D23" s="18" t="str">
        <f>IF(ISNUMBER($B$26),IF(OR($J$26="",$J$26=0),$B$26*0.7,ROUNDDOWN($B$26*0.7/$J$26,0)*$J$26),"")</f>
        <v/>
      </c>
      <c r="E23" s="19" t="s">
        <v>49</v>
      </c>
      <c r="F23" s="20"/>
      <c r="G23" s="21" t="str">
        <f>HYPERLINK("https://www.youtube.com/watch?v=gnKmUlTOaCw","Link")</f>
        <v>Link</v>
      </c>
      <c r="H23" s="3"/>
      <c r="I23" s="22" t="s">
        <v>95</v>
      </c>
      <c r="J23" s="23"/>
      <c r="K23" s="23"/>
      <c r="L23" s="24"/>
    </row>
    <row r="24" ht="21.75" customHeight="1">
      <c r="A24" s="3"/>
      <c r="B24" s="25"/>
      <c r="C24" s="17" t="s">
        <v>53</v>
      </c>
      <c r="D24" s="18" t="str">
        <f>IF(ISNUMBER($B$26),IF(OR($J$26="",$J$26=0),$B$26*0.85,ROUNDDOWN($B$26*0.85/$J$26,0)*$J$26),"")</f>
        <v/>
      </c>
      <c r="E24" s="19" t="s">
        <v>49</v>
      </c>
      <c r="F24" s="20"/>
      <c r="G24" s="26"/>
      <c r="H24" s="3"/>
      <c r="I24" s="3" t="s">
        <v>50</v>
      </c>
      <c r="J24" s="27" t="s">
        <v>51</v>
      </c>
      <c r="K24" s="23"/>
      <c r="L24" s="24"/>
    </row>
    <row r="25" ht="24.75" customHeight="1">
      <c r="A25" s="3"/>
      <c r="B25" s="15" t="s">
        <v>52</v>
      </c>
      <c r="C25" s="17" t="s">
        <v>56</v>
      </c>
      <c r="D25" s="18" t="str">
        <f>IF(ISNUMBER($B$26),IF(OR($J$26="",$J$26=0),$B$26*1,ROUNDDOWN($B$26*1/$J$26,0)*$J$26),"")</f>
        <v/>
      </c>
      <c r="E25" s="19" t="s">
        <v>66</v>
      </c>
      <c r="F25" s="20"/>
      <c r="G25" s="26"/>
      <c r="H25" s="3"/>
      <c r="I25" s="3" t="s">
        <v>54</v>
      </c>
      <c r="J25" s="27" t="s">
        <v>76</v>
      </c>
      <c r="K25" s="23"/>
      <c r="L25" s="24"/>
    </row>
    <row r="26" ht="21.75" customHeight="1">
      <c r="A26" s="3"/>
      <c r="B26" s="32"/>
      <c r="C26" s="17" t="s">
        <v>73</v>
      </c>
      <c r="D26" s="18" t="str">
        <f>IF(ISNUMBER($B$26),IF(OR($J$26="",$J$26=0),$B$26*1.1,ROUNDDOWN($B$26*1.1/$J$26,0)*$J$26),"")</f>
        <v/>
      </c>
      <c r="E26" s="19" t="s">
        <v>74</v>
      </c>
      <c r="F26" s="20"/>
      <c r="G26" s="26"/>
      <c r="H26" s="3"/>
      <c r="I26" s="3" t="s">
        <v>58</v>
      </c>
      <c r="J26" s="29"/>
      <c r="K26" s="29" t="s">
        <v>59</v>
      </c>
      <c r="L26" s="29"/>
    </row>
    <row r="27" ht="27.75" customHeight="1">
      <c r="A27" s="3"/>
      <c r="B27" s="26"/>
      <c r="C27" s="17"/>
      <c r="D27" s="18"/>
      <c r="E27" s="19"/>
      <c r="F27" s="20"/>
      <c r="G27" s="26"/>
      <c r="H27" s="3"/>
      <c r="I27" s="30" t="s">
        <v>61</v>
      </c>
    </row>
    <row r="28" ht="21.75" customHeight="1">
      <c r="A28" s="3"/>
      <c r="B28" s="25"/>
      <c r="C28" s="17"/>
      <c r="D28" s="18"/>
      <c r="E28" s="19"/>
      <c r="F28" s="20"/>
      <c r="G28" s="25"/>
      <c r="H28" s="3"/>
      <c r="I28" s="31" t="s">
        <v>162</v>
      </c>
    </row>
    <row r="29" ht="31.5" customHeight="1">
      <c r="A29" s="3"/>
      <c r="B29" s="30" t="s">
        <v>97</v>
      </c>
      <c r="H29" s="3"/>
      <c r="I29" s="3"/>
      <c r="J29" s="3"/>
      <c r="K29" s="3"/>
      <c r="L29" s="3"/>
    </row>
    <row r="30" ht="21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30.0" customHeight="1">
      <c r="A31" s="3"/>
      <c r="B31" s="16" t="s">
        <v>98</v>
      </c>
      <c r="C31" s="17" t="s">
        <v>48</v>
      </c>
      <c r="D31" s="18" t="str">
        <f>IF(ISNUMBER($B$34),IF(OR($J$34="",$J$34=0),$B$34*0.7,ROUNDDOWN($B$34*0.7/$J$34,0)*$J$34),"")</f>
        <v/>
      </c>
      <c r="E31" s="19" t="s">
        <v>49</v>
      </c>
      <c r="F31" s="20"/>
      <c r="G31" s="21" t="str">
        <f>HYPERLINK("https://www.youtube.com/shorts/UqTGI9SMVUI","Link")</f>
        <v>Link</v>
      </c>
      <c r="H31" s="3"/>
      <c r="I31" s="22" t="s">
        <v>98</v>
      </c>
      <c r="J31" s="23"/>
      <c r="K31" s="23"/>
      <c r="L31" s="24"/>
    </row>
    <row r="32" ht="21.75" customHeight="1">
      <c r="A32" s="3"/>
      <c r="B32" s="25"/>
      <c r="C32" s="17" t="s">
        <v>53</v>
      </c>
      <c r="D32" s="18" t="str">
        <f>IF(ISNUMBER($B$34),IF(OR($J$34="",$J$34=0),$B$34*0.85,ROUNDDOWN($B$34*0.85/$J$34,0)*$J$34),"")</f>
        <v/>
      </c>
      <c r="E32" s="19" t="s">
        <v>49</v>
      </c>
      <c r="F32" s="20"/>
      <c r="G32" s="26"/>
      <c r="H32" s="3"/>
      <c r="I32" s="3" t="s">
        <v>50</v>
      </c>
      <c r="J32" s="27" t="s">
        <v>96</v>
      </c>
      <c r="K32" s="23"/>
      <c r="L32" s="24"/>
    </row>
    <row r="33" ht="24.75" customHeight="1">
      <c r="A33" s="3"/>
      <c r="B33" s="15" t="s">
        <v>52</v>
      </c>
      <c r="C33" s="17" t="s">
        <v>56</v>
      </c>
      <c r="D33" s="18" t="str">
        <f>IF(ISNUMBER($B$34),IF(OR($J$34="",$J$34=0),$B$34*1,ROUNDDOWN($B$34*1/$J$34,0)*$J$34),"")</f>
        <v/>
      </c>
      <c r="E33" s="19" t="s">
        <v>66</v>
      </c>
      <c r="F33" s="20"/>
      <c r="G33" s="26"/>
      <c r="H33" s="3"/>
      <c r="I33" s="3" t="s">
        <v>54</v>
      </c>
      <c r="J33" s="27" t="s">
        <v>55</v>
      </c>
      <c r="K33" s="23"/>
      <c r="L33" s="24"/>
    </row>
    <row r="34" ht="21.75" customHeight="1">
      <c r="A34" s="3"/>
      <c r="B34" s="32"/>
      <c r="C34" s="17" t="s">
        <v>73</v>
      </c>
      <c r="D34" s="18" t="str">
        <f>IF(ISNUMBER($B$34),IF(OR($J$34="",$J$34=0),$B$34*1.1,ROUNDDOWN($B$34*1.1/$J$34,0)*$J$34),"")</f>
        <v/>
      </c>
      <c r="E34" s="19" t="s">
        <v>74</v>
      </c>
      <c r="F34" s="20"/>
      <c r="G34" s="26"/>
      <c r="H34" s="3"/>
      <c r="I34" s="3" t="s">
        <v>58</v>
      </c>
      <c r="J34" s="29"/>
      <c r="K34" s="29" t="s">
        <v>59</v>
      </c>
      <c r="L34" s="29"/>
    </row>
    <row r="35" ht="27.75" customHeight="1">
      <c r="A35" s="3"/>
      <c r="B35" s="26"/>
      <c r="C35" s="17"/>
      <c r="D35" s="18"/>
      <c r="E35" s="19"/>
      <c r="F35" s="20"/>
      <c r="G35" s="26"/>
      <c r="H35" s="3"/>
      <c r="I35" s="30" t="s">
        <v>61</v>
      </c>
    </row>
    <row r="36" ht="21.75" customHeight="1">
      <c r="A36" s="3"/>
      <c r="B36" s="25"/>
      <c r="C36" s="17"/>
      <c r="D36" s="18"/>
      <c r="E36" s="19"/>
      <c r="F36" s="20"/>
      <c r="G36" s="25"/>
      <c r="H36" s="3"/>
      <c r="I36" s="31" t="s">
        <v>162</v>
      </c>
    </row>
    <row r="37" ht="31.5" customHeight="1">
      <c r="A37" s="3"/>
      <c r="B37" s="30" t="s">
        <v>99</v>
      </c>
      <c r="H37" s="3"/>
      <c r="I37" s="3"/>
      <c r="J37" s="3"/>
      <c r="K37" s="3"/>
      <c r="L37" s="3"/>
    </row>
    <row r="38" ht="21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30.0" customHeight="1">
      <c r="A39" s="3"/>
      <c r="B39" s="16" t="s">
        <v>100</v>
      </c>
      <c r="C39" s="17" t="s">
        <v>48</v>
      </c>
      <c r="D39" s="18" t="str">
        <f>IF(ISNUMBER($B$42),IF(OR($J$42="",$J$42=0),$B$42*0.85,ROUNDDOWN($B$42*0.85/$J$42,0)*$J$42),"")</f>
        <v/>
      </c>
      <c r="E39" s="19" t="s">
        <v>49</v>
      </c>
      <c r="F39" s="20"/>
      <c r="G39" s="21" t="str">
        <f>HYPERLINK("https://www.youtube.com/watch?si=ztY_PX-u_GUjYjy8&amp;v=MleuQl3OPgo&amp;feature=youtu.be","Link")</f>
        <v>Link</v>
      </c>
      <c r="H39" s="3"/>
      <c r="I39" s="22" t="s">
        <v>100</v>
      </c>
      <c r="J39" s="23"/>
      <c r="K39" s="23"/>
      <c r="L39" s="24"/>
    </row>
    <row r="40" ht="21.75" customHeight="1">
      <c r="A40" s="3"/>
      <c r="B40" s="25"/>
      <c r="C40" s="17" t="s">
        <v>56</v>
      </c>
      <c r="D40" s="18" t="str">
        <f t="shared" ref="D40:D42" si="3">IF(ISNUMBER($B$42),IF(OR($J$42="",$J$42=0),$B$42*1,ROUNDDOWN($B$42*1/$J$42,0)*$J$42),"")</f>
        <v/>
      </c>
      <c r="E40" s="19" t="s">
        <v>66</v>
      </c>
      <c r="F40" s="20"/>
      <c r="G40" s="26"/>
      <c r="H40" s="3"/>
      <c r="I40" s="3" t="s">
        <v>50</v>
      </c>
      <c r="J40" s="27" t="s">
        <v>51</v>
      </c>
      <c r="K40" s="23"/>
      <c r="L40" s="24"/>
    </row>
    <row r="41" ht="24.75" customHeight="1">
      <c r="A41" s="3"/>
      <c r="B41" s="15" t="s">
        <v>52</v>
      </c>
      <c r="C41" s="17" t="s">
        <v>60</v>
      </c>
      <c r="D41" s="18" t="str">
        <f t="shared" si="3"/>
        <v/>
      </c>
      <c r="E41" s="19" t="s">
        <v>66</v>
      </c>
      <c r="F41" s="20"/>
      <c r="G41" s="26"/>
      <c r="H41" s="3"/>
      <c r="I41" s="3" t="s">
        <v>54</v>
      </c>
      <c r="J41" s="27" t="s">
        <v>55</v>
      </c>
      <c r="K41" s="23"/>
      <c r="L41" s="24"/>
    </row>
    <row r="42" ht="21.75" customHeight="1">
      <c r="A42" s="3"/>
      <c r="B42" s="32"/>
      <c r="C42" s="17" t="s">
        <v>62</v>
      </c>
      <c r="D42" s="18" t="str">
        <f t="shared" si="3"/>
        <v/>
      </c>
      <c r="E42" s="19" t="s">
        <v>66</v>
      </c>
      <c r="F42" s="20"/>
      <c r="G42" s="26"/>
      <c r="H42" s="3"/>
      <c r="I42" s="3" t="s">
        <v>58</v>
      </c>
      <c r="J42" s="29"/>
      <c r="K42" s="29" t="s">
        <v>59</v>
      </c>
      <c r="L42" s="29"/>
    </row>
    <row r="43" ht="27.75" customHeight="1">
      <c r="A43" s="3"/>
      <c r="B43" s="26"/>
      <c r="C43" s="17"/>
      <c r="D43" s="18"/>
      <c r="E43" s="19"/>
      <c r="F43" s="20"/>
      <c r="G43" s="26"/>
      <c r="H43" s="3"/>
      <c r="I43" s="30" t="s">
        <v>61</v>
      </c>
    </row>
    <row r="44" ht="21.75" customHeight="1">
      <c r="A44" s="3"/>
      <c r="B44" s="25"/>
      <c r="C44" s="17"/>
      <c r="D44" s="18"/>
      <c r="E44" s="19"/>
      <c r="F44" s="20"/>
      <c r="G44" s="25"/>
      <c r="H44" s="3"/>
      <c r="I44" s="31" t="s">
        <v>162</v>
      </c>
    </row>
    <row r="45" ht="31.5" customHeight="1">
      <c r="A45" s="3"/>
      <c r="B45" s="30" t="s">
        <v>101</v>
      </c>
      <c r="H45" s="3"/>
      <c r="I45" s="3"/>
      <c r="J45" s="3"/>
      <c r="K45" s="3"/>
      <c r="L45" s="3"/>
    </row>
    <row r="46" ht="21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30.0" customHeight="1">
      <c r="A47" s="3"/>
      <c r="B47" s="16" t="s">
        <v>102</v>
      </c>
      <c r="C47" s="17" t="s">
        <v>48</v>
      </c>
      <c r="D47" s="18" t="str">
        <f>IF(ISNUMBER($B$50),IF(OR($J$50="",$J$50=0),$B$50*0.85,ROUNDDOWN($B$50*0.85/$J$50,0)*$J$50),"")</f>
        <v/>
      </c>
      <c r="E47" s="19" t="s">
        <v>49</v>
      </c>
      <c r="F47" s="20"/>
      <c r="G47" s="21" t="str">
        <f>HYPERLINK("https://www.youtube.com/watch?v=9cmeOVHOjck","Link")</f>
        <v>Link</v>
      </c>
      <c r="H47" s="3"/>
      <c r="I47" s="22" t="s">
        <v>102</v>
      </c>
      <c r="J47" s="23"/>
      <c r="K47" s="23"/>
      <c r="L47" s="24"/>
    </row>
    <row r="48" ht="21.75" customHeight="1">
      <c r="A48" s="3"/>
      <c r="B48" s="25"/>
      <c r="C48" s="17" t="s">
        <v>56</v>
      </c>
      <c r="D48" s="18" t="str">
        <f t="shared" ref="D48:D50" si="4">IF(ISNUMBER($B$50),IF(OR($J$50="",$J$50=0),$B$50*1,ROUNDDOWN($B$50*1/$J$50,0)*$J$50),"")</f>
        <v/>
      </c>
      <c r="E48" s="19" t="s">
        <v>57</v>
      </c>
      <c r="F48" s="20"/>
      <c r="G48" s="26"/>
      <c r="H48" s="3"/>
      <c r="I48" s="3" t="s">
        <v>50</v>
      </c>
      <c r="J48" s="27" t="s">
        <v>96</v>
      </c>
      <c r="K48" s="23"/>
      <c r="L48" s="24"/>
    </row>
    <row r="49" ht="24.75" customHeight="1">
      <c r="A49" s="3"/>
      <c r="B49" s="15" t="s">
        <v>52</v>
      </c>
      <c r="C49" s="17" t="s">
        <v>60</v>
      </c>
      <c r="D49" s="18" t="str">
        <f t="shared" si="4"/>
        <v/>
      </c>
      <c r="E49" s="19" t="s">
        <v>57</v>
      </c>
      <c r="F49" s="20"/>
      <c r="G49" s="26"/>
      <c r="H49" s="3"/>
      <c r="I49" s="3" t="s">
        <v>54</v>
      </c>
      <c r="J49" s="27" t="s">
        <v>55</v>
      </c>
      <c r="K49" s="23"/>
      <c r="L49" s="24"/>
    </row>
    <row r="50" ht="21.75" customHeight="1">
      <c r="A50" s="3"/>
      <c r="B50" s="32"/>
      <c r="C50" s="17" t="s">
        <v>62</v>
      </c>
      <c r="D50" s="18" t="str">
        <f t="shared" si="4"/>
        <v/>
      </c>
      <c r="E50" s="19" t="s">
        <v>57</v>
      </c>
      <c r="F50" s="20"/>
      <c r="G50" s="26"/>
      <c r="H50" s="3"/>
      <c r="I50" s="3" t="s">
        <v>58</v>
      </c>
      <c r="J50" s="29"/>
      <c r="K50" s="29" t="s">
        <v>59</v>
      </c>
      <c r="L50" s="29"/>
    </row>
    <row r="51" ht="27.75" customHeight="1">
      <c r="A51" s="3"/>
      <c r="B51" s="26"/>
      <c r="C51" s="17"/>
      <c r="D51" s="18"/>
      <c r="E51" s="19"/>
      <c r="F51" s="20"/>
      <c r="G51" s="26"/>
      <c r="H51" s="3"/>
      <c r="I51" s="30" t="s">
        <v>61</v>
      </c>
    </row>
    <row r="52" ht="21.75" customHeight="1">
      <c r="A52" s="3"/>
      <c r="B52" s="25"/>
      <c r="C52" s="17"/>
      <c r="D52" s="18"/>
      <c r="E52" s="19"/>
      <c r="F52" s="20"/>
      <c r="G52" s="25"/>
      <c r="H52" s="3"/>
      <c r="I52" s="31" t="s">
        <v>162</v>
      </c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5.5" customHeight="1">
      <c r="A55" s="3"/>
      <c r="B55" s="33" t="s">
        <v>82</v>
      </c>
      <c r="C55" s="23"/>
      <c r="D55" s="23"/>
      <c r="E55" s="24"/>
      <c r="F55" s="33" t="s">
        <v>83</v>
      </c>
      <c r="G55" s="24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I19:L19"/>
    <mergeCell ref="I23:L23"/>
    <mergeCell ref="I10:L10"/>
    <mergeCell ref="I11:L11"/>
    <mergeCell ref="G15:G20"/>
    <mergeCell ref="I15:L15"/>
    <mergeCell ref="J16:L16"/>
    <mergeCell ref="J17:L17"/>
    <mergeCell ref="G23:G28"/>
    <mergeCell ref="J41:L41"/>
    <mergeCell ref="I43:L43"/>
    <mergeCell ref="I44:L44"/>
    <mergeCell ref="I47:L47"/>
    <mergeCell ref="J48:L48"/>
    <mergeCell ref="J49:L49"/>
    <mergeCell ref="I51:L51"/>
    <mergeCell ref="I52:L52"/>
    <mergeCell ref="G31:G36"/>
    <mergeCell ref="I31:L31"/>
    <mergeCell ref="J32:L32"/>
    <mergeCell ref="J33:L33"/>
    <mergeCell ref="I35:L35"/>
    <mergeCell ref="I36:L36"/>
    <mergeCell ref="B37:G37"/>
    <mergeCell ref="B50:B52"/>
    <mergeCell ref="B55:E55"/>
    <mergeCell ref="F55:G55"/>
    <mergeCell ref="B34:B36"/>
    <mergeCell ref="B39:B40"/>
    <mergeCell ref="G39:G44"/>
    <mergeCell ref="B42:B44"/>
    <mergeCell ref="B45:G45"/>
    <mergeCell ref="B47:B48"/>
    <mergeCell ref="G47:G52"/>
    <mergeCell ref="I6:L6"/>
    <mergeCell ref="J7:L7"/>
    <mergeCell ref="B1:G2"/>
    <mergeCell ref="I1:L2"/>
    <mergeCell ref="B3:G3"/>
    <mergeCell ref="I3:L4"/>
    <mergeCell ref="B4:G4"/>
    <mergeCell ref="G6:G12"/>
    <mergeCell ref="J8:L8"/>
    <mergeCell ref="B13:G13"/>
    <mergeCell ref="I20:L20"/>
    <mergeCell ref="B21:G21"/>
    <mergeCell ref="J24:L24"/>
    <mergeCell ref="J25:L25"/>
    <mergeCell ref="I27:L27"/>
    <mergeCell ref="I28:L28"/>
    <mergeCell ref="B29:G29"/>
    <mergeCell ref="B6:B7"/>
    <mergeCell ref="B9:B12"/>
    <mergeCell ref="B15:B16"/>
    <mergeCell ref="B18:B20"/>
    <mergeCell ref="B23:B24"/>
    <mergeCell ref="B26:B28"/>
    <mergeCell ref="B31:B32"/>
    <mergeCell ref="I39:L39"/>
    <mergeCell ref="J40:L40"/>
  </mergeCells>
  <dataValidations>
    <dataValidation type="list" allowBlank="1" sqref="F55">
      <formula1>"Não,Sim"</formula1>
    </dataValidation>
    <dataValidation type="list" allowBlank="1" sqref="J7 J16 J24 J32 J40 J48">
      <formula1>"Máquina,Polia,Halter,Barra / smith"</formula1>
    </dataValidation>
    <dataValidation type="decimal" operator="greaterThanOrEqual" allowBlank="1" sqref="B9 J9 L9 F6:F12 B18 J18 L18 F15:F19 B26 F23:F26 J26 L26 B34 F31:F34 J34 L34 B42 F39:F42 J42 L42 B50 F47:F50 J50 L50">
      <formula1>0.0</formula1>
    </dataValidation>
    <dataValidation type="list" allowBlank="1" sqref="J8 J17 J25 J33 J41 J49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4545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163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120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45</v>
      </c>
      <c r="C6" s="17" t="s">
        <v>46</v>
      </c>
      <c r="D6" s="18">
        <f>IF(ISNUMBER($B$9),IF(OR($J$9="",$J$9=0),$B$9*0.3,ROUNDDOWN($B$9*0.3/$J$9,0)*$J$9),"")</f>
        <v>1.5</v>
      </c>
      <c r="E6" s="19" t="s">
        <v>47</v>
      </c>
      <c r="F6" s="20"/>
      <c r="G6" s="21" t="str">
        <f>HYPERLINK("https://www.youtube.com/shorts/S9OtoSJdMWo","Link")</f>
        <v>Link</v>
      </c>
      <c r="H6" s="3"/>
      <c r="I6" s="22" t="s">
        <v>45</v>
      </c>
      <c r="J6" s="23"/>
      <c r="K6" s="23"/>
      <c r="L6" s="24"/>
    </row>
    <row r="7" ht="21.75" customHeight="1">
      <c r="A7" s="3"/>
      <c r="B7" s="25"/>
      <c r="C7" s="17" t="s">
        <v>56</v>
      </c>
      <c r="D7" s="18">
        <f t="shared" ref="D7:D9" si="1">IF(ISNUMBER($B$9),IF(OR($J$9="",$J$9=0),$B$9*1,ROUNDDOWN($B$9*1/$J$9,0)*$J$9),"")</f>
        <v>5</v>
      </c>
      <c r="E7" s="19" t="s">
        <v>57</v>
      </c>
      <c r="F7" s="20"/>
      <c r="G7" s="26"/>
      <c r="H7" s="3"/>
      <c r="I7" s="3" t="s">
        <v>50</v>
      </c>
      <c r="J7" s="27" t="s">
        <v>51</v>
      </c>
      <c r="K7" s="23"/>
      <c r="L7" s="24"/>
    </row>
    <row r="8" ht="24.75" customHeight="1">
      <c r="A8" s="3"/>
      <c r="B8" s="15" t="s">
        <v>52</v>
      </c>
      <c r="C8" s="17" t="s">
        <v>60</v>
      </c>
      <c r="D8" s="18">
        <f t="shared" si="1"/>
        <v>5</v>
      </c>
      <c r="E8" s="19" t="s">
        <v>57</v>
      </c>
      <c r="F8" s="20"/>
      <c r="G8" s="26"/>
      <c r="H8" s="3"/>
      <c r="I8" s="3" t="s">
        <v>54</v>
      </c>
      <c r="J8" s="27" t="s">
        <v>55</v>
      </c>
      <c r="K8" s="23"/>
      <c r="L8" s="24"/>
    </row>
    <row r="9" ht="21.75" customHeight="1">
      <c r="A9" s="3"/>
      <c r="B9" s="28">
        <v>5.0</v>
      </c>
      <c r="C9" s="17" t="s">
        <v>62</v>
      </c>
      <c r="D9" s="18">
        <f t="shared" si="1"/>
        <v>5</v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/>
      <c r="D10" s="18"/>
      <c r="E10" s="19"/>
      <c r="F10" s="20"/>
      <c r="G10" s="26"/>
      <c r="H10" s="3"/>
      <c r="I10" s="30" t="s">
        <v>61</v>
      </c>
    </row>
    <row r="11" ht="21.75" customHeight="1">
      <c r="A11" s="3"/>
      <c r="B11" s="25"/>
      <c r="C11" s="17"/>
      <c r="D11" s="18"/>
      <c r="E11" s="19"/>
      <c r="F11" s="20"/>
      <c r="G11" s="25"/>
      <c r="H11" s="3"/>
      <c r="I11" s="31" t="s">
        <v>164</v>
      </c>
    </row>
    <row r="12" ht="31.5" customHeight="1">
      <c r="A12" s="3"/>
      <c r="B12" s="30" t="s">
        <v>64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65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HYPERLINK("https://www.youtube.com/watch?v=wqVoX6lbYf8","Link")</f>
        <v>Link</v>
      </c>
      <c r="H14" s="3"/>
      <c r="I14" s="22" t="s">
        <v>65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51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 t="shared" ref="D16:D17" si="2"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60</v>
      </c>
      <c r="D17" s="18" t="str">
        <f t="shared" si="2"/>
        <v/>
      </c>
      <c r="E17" s="19" t="s">
        <v>66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 t="s">
        <v>73</v>
      </c>
      <c r="D18" s="18" t="str">
        <f>IF(ISNUMBER($B$17),IF(OR($J$17="",$J$17=0),$B$17*1.1,ROUNDDOWN($B$17*1.1/$J$17,0)*$J$17),"")</f>
        <v/>
      </c>
      <c r="E18" s="19" t="s">
        <v>74</v>
      </c>
      <c r="F18" s="20"/>
      <c r="G18" s="26"/>
      <c r="H18" s="3"/>
      <c r="I18" s="30" t="s">
        <v>61</v>
      </c>
    </row>
    <row r="19" ht="27.75" customHeight="1">
      <c r="A19" s="3"/>
      <c r="B19" s="25"/>
      <c r="C19" s="17"/>
      <c r="D19" s="18"/>
      <c r="E19" s="19"/>
      <c r="F19" s="20"/>
      <c r="G19" s="25"/>
      <c r="H19" s="3"/>
      <c r="I19" s="30" t="s">
        <v>70</v>
      </c>
    </row>
    <row r="20" ht="31.5" customHeight="1">
      <c r="A20" s="3"/>
      <c r="B20" s="30" t="s">
        <v>122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123</v>
      </c>
      <c r="C22" s="17" t="s">
        <v>48</v>
      </c>
      <c r="D22" s="18" t="str">
        <f>IF(ISNUMBER($B$25),IF(OR($J$25="",$J$25=0),$B$25*0.5,ROUNDDOWN($B$25*0.5/$J$25,0)*$J$25),"")</f>
        <v/>
      </c>
      <c r="E22" s="19" t="s">
        <v>49</v>
      </c>
      <c r="F22" s="20"/>
      <c r="G22" s="21" t="str">
        <f>HYPERLINK("https://www.youtube.com/watch?v=pfSMst14EFk","Link")</f>
        <v>Link</v>
      </c>
      <c r="H22" s="3"/>
      <c r="I22" s="22" t="s">
        <v>123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IF(ISNUMBER($B$25),IF(OR($J$25="",$J$25=0),$B$25*0.7,ROUNDDOWN($B$25*0.7/$J$25,0)*$J$25),"")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79</v>
      </c>
      <c r="K23" s="23"/>
      <c r="L23" s="24"/>
    </row>
    <row r="24" ht="24.75" customHeight="1">
      <c r="A24" s="3"/>
      <c r="B24" s="15" t="s">
        <v>52</v>
      </c>
      <c r="C24" s="17" t="s">
        <v>68</v>
      </c>
      <c r="D24" s="18" t="str">
        <f>IF(ISNUMBER($B$25),IF(OR($J$25="",$J$25=0),$B$25*0.85,ROUNDDOWN($B$25*0.85/$J$25,0)*$J$25),"")</f>
        <v/>
      </c>
      <c r="E24" s="19" t="s">
        <v>49</v>
      </c>
      <c r="F24" s="20"/>
      <c r="G24" s="26"/>
      <c r="H24" s="3"/>
      <c r="I24" s="3" t="s">
        <v>54</v>
      </c>
      <c r="J24" s="27" t="s">
        <v>80</v>
      </c>
      <c r="K24" s="23"/>
      <c r="L24" s="24"/>
    </row>
    <row r="25" ht="21.75" customHeight="1">
      <c r="A25" s="3"/>
      <c r="B25" s="32"/>
      <c r="C25" s="17" t="s">
        <v>56</v>
      </c>
      <c r="D25" s="18" t="str">
        <f t="shared" ref="D25:D26" si="3">IF(ISNUMBER($B$25),IF(OR($J$25="",$J$25=0),$B$25*1,ROUNDDOWN($B$25*1/$J$25,0)*$J$25),"")</f>
        <v/>
      </c>
      <c r="E25" s="19" t="s">
        <v>124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 t="s">
        <v>60</v>
      </c>
      <c r="D26" s="18" t="str">
        <f t="shared" si="3"/>
        <v/>
      </c>
      <c r="E26" s="19" t="s">
        <v>124</v>
      </c>
      <c r="F26" s="20"/>
      <c r="G26" s="26"/>
      <c r="H26" s="3"/>
      <c r="I26" s="30" t="s">
        <v>61</v>
      </c>
    </row>
    <row r="27" ht="21.75" customHeight="1">
      <c r="A27" s="3"/>
      <c r="B27" s="25"/>
      <c r="C27" s="17" t="s">
        <v>89</v>
      </c>
      <c r="D27" s="18" t="str">
        <f>IF(ISNUMBER($B$25),IF(OR($J$25="",$J$25=0),$B$25*0.75,ROUNDDOWN($B$25*0.75/$J$25,0)*$J$25),"")</f>
        <v/>
      </c>
      <c r="E27" s="19" t="s">
        <v>153</v>
      </c>
      <c r="F27" s="20"/>
      <c r="G27" s="25"/>
      <c r="H27" s="3"/>
      <c r="I27" s="31" t="s">
        <v>164</v>
      </c>
    </row>
    <row r="28" ht="21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78</v>
      </c>
      <c r="C30" s="17" t="s">
        <v>48</v>
      </c>
      <c r="D30" s="18" t="str">
        <f>IF(ISNUMBER($B$33),IF(OR($J$33="",$J$33=0),$B$33*0.7,ROUNDDOWN($B$33*0.7/$J$33,0)*$J$33),"")</f>
        <v/>
      </c>
      <c r="E30" s="19" t="s">
        <v>49</v>
      </c>
      <c r="F30" s="20"/>
      <c r="G30" s="21" t="str">
        <f>HYPERLINK("https://www.youtube.com/shorts/taUhr2s8Sf0","Link")</f>
        <v>Link</v>
      </c>
      <c r="H30" s="3"/>
      <c r="I30" s="22" t="s">
        <v>78</v>
      </c>
      <c r="J30" s="23"/>
      <c r="K30" s="23"/>
      <c r="L30" s="24"/>
    </row>
    <row r="31" ht="21.75" customHeight="1">
      <c r="A31" s="3"/>
      <c r="B31" s="25"/>
      <c r="C31" s="17" t="s">
        <v>53</v>
      </c>
      <c r="D31" s="18" t="str">
        <f>IF(ISNUMBER($B$33),IF(OR($J$33="",$J$33=0),$B$33*0.85,ROUNDDOWN($B$33*0.85/$J$33,0)*$J$33),"")</f>
        <v/>
      </c>
      <c r="E31" s="19" t="s">
        <v>49</v>
      </c>
      <c r="F31" s="20"/>
      <c r="G31" s="26"/>
      <c r="H31" s="3"/>
      <c r="I31" s="3" t="s">
        <v>50</v>
      </c>
      <c r="J31" s="27" t="s">
        <v>79</v>
      </c>
      <c r="K31" s="23"/>
      <c r="L31" s="24"/>
    </row>
    <row r="32" ht="24.75" customHeight="1">
      <c r="A32" s="3"/>
      <c r="B32" s="15" t="s">
        <v>52</v>
      </c>
      <c r="C32" s="17" t="s">
        <v>56</v>
      </c>
      <c r="D32" s="18" t="str">
        <f>IF(ISNUMBER($B$33),IF(OR($J$33="",$J$33=0),$B$33*1,ROUNDDOWN($B$33*1/$J$33,0)*$J$33),"")</f>
        <v/>
      </c>
      <c r="E32" s="19" t="s">
        <v>66</v>
      </c>
      <c r="F32" s="20"/>
      <c r="G32" s="26"/>
      <c r="H32" s="3"/>
      <c r="I32" s="3" t="s">
        <v>54</v>
      </c>
      <c r="J32" s="27" t="s">
        <v>80</v>
      </c>
      <c r="K32" s="23"/>
      <c r="L32" s="24"/>
    </row>
    <row r="33" ht="21.75" customHeight="1">
      <c r="A33" s="3"/>
      <c r="B33" s="32"/>
      <c r="C33" s="17" t="s">
        <v>73</v>
      </c>
      <c r="D33" s="18" t="str">
        <f>IF(ISNUMBER($B$33),IF(OR($J$33="",$J$33=0),$B$33*1.1,ROUNDDOWN($B$33*1.1/$J$33,0)*$J$33),"")</f>
        <v/>
      </c>
      <c r="E33" s="19" t="s">
        <v>74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164</v>
      </c>
    </row>
    <row r="36" ht="31.5" customHeight="1">
      <c r="A36" s="3"/>
      <c r="B36" s="30" t="s">
        <v>106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125</v>
      </c>
      <c r="C38" s="17" t="s">
        <v>48</v>
      </c>
      <c r="D38" s="18" t="str">
        <f>IF(ISNUMBER($B$41),IF(OR($J$41="",$J$41=0),$B$41*0.7,ROUNDDOWN($B$41*0.7/$J$41,0)*$J$41),"")</f>
        <v/>
      </c>
      <c r="E38" s="19" t="s">
        <v>49</v>
      </c>
      <c r="F38" s="20"/>
      <c r="G38" s="21" t="str">
        <f>HYPERLINK("https://www.youtube.com/watch?v=hQOfjxHnRvg","Link")</f>
        <v>Link</v>
      </c>
      <c r="H38" s="3"/>
      <c r="I38" s="22" t="s">
        <v>125</v>
      </c>
      <c r="J38" s="23"/>
      <c r="K38" s="23"/>
      <c r="L38" s="24"/>
    </row>
    <row r="39" ht="21.75" customHeight="1">
      <c r="A39" s="3"/>
      <c r="B39" s="25"/>
      <c r="C39" s="17" t="s">
        <v>53</v>
      </c>
      <c r="D39" s="18" t="str">
        <f>IF(ISNUMBER($B$41),IF(OR($J$41="",$J$41=0),$B$41*0.85,ROUNDDOWN($B$41*0.85/$J$41,0)*$J$41),"")</f>
        <v/>
      </c>
      <c r="E39" s="19" t="s">
        <v>49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56</v>
      </c>
      <c r="D40" s="18" t="str">
        <f t="shared" ref="D40:D42" si="4">IF(ISNUMBER($B$41),IF(OR($J$41="",$J$41=0),$B$41*1,ROUNDDOWN($B$41*1/$J$41,0)*$J$41),"")</f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60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 t="s">
        <v>62</v>
      </c>
      <c r="D42" s="18" t="str">
        <f t="shared" si="4"/>
        <v/>
      </c>
      <c r="E42" s="19" t="s">
        <v>57</v>
      </c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164</v>
      </c>
    </row>
    <row r="44" ht="31.5" customHeight="1">
      <c r="A44" s="3"/>
      <c r="B44" s="30" t="s">
        <v>126</v>
      </c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30.0" customHeight="1">
      <c r="A46" s="3"/>
      <c r="B46" s="16" t="s">
        <v>72</v>
      </c>
      <c r="C46" s="17" t="s">
        <v>48</v>
      </c>
      <c r="D46" s="18" t="str">
        <f>IF(ISNUMBER($B$49),IF(OR($J$49="",$J$49=0),$B$49*0.7,ROUNDDOWN($B$49*0.7/$J$49,0)*$J$49),"")</f>
        <v/>
      </c>
      <c r="E46" s="19" t="s">
        <v>49</v>
      </c>
      <c r="F46" s="20"/>
      <c r="G46" s="21" t="str">
        <f>HYPERLINK("https://www.youtube.com/watch?v=m0FOpMEgero","Link")</f>
        <v>Link</v>
      </c>
      <c r="H46" s="3"/>
      <c r="I46" s="22" t="s">
        <v>72</v>
      </c>
      <c r="J46" s="23"/>
      <c r="K46" s="23"/>
      <c r="L46" s="24"/>
    </row>
    <row r="47" ht="21.75" customHeight="1">
      <c r="A47" s="3"/>
      <c r="B47" s="25"/>
      <c r="C47" s="17" t="s">
        <v>53</v>
      </c>
      <c r="D47" s="18" t="str">
        <f>IF(ISNUMBER($B$49),IF(OR($J$49="",$J$49=0),$B$49*0.85,ROUNDDOWN($B$49*0.85/$J$49,0)*$J$49),"")</f>
        <v/>
      </c>
      <c r="E47" s="19" t="s">
        <v>49</v>
      </c>
      <c r="F47" s="20"/>
      <c r="G47" s="26"/>
      <c r="H47" s="3"/>
      <c r="I47" s="3" t="s">
        <v>50</v>
      </c>
      <c r="J47" s="27" t="s">
        <v>51</v>
      </c>
      <c r="K47" s="23"/>
      <c r="L47" s="24"/>
    </row>
    <row r="48" ht="24.75" customHeight="1">
      <c r="A48" s="3"/>
      <c r="B48" s="15" t="s">
        <v>52</v>
      </c>
      <c r="C48" s="17" t="s">
        <v>56</v>
      </c>
      <c r="D48" s="18" t="str">
        <f>IF(ISNUMBER($B$49),IF(OR($J$49="",$J$49=0),$B$49*1,ROUNDDOWN($B$49*1/$J$49,0)*$J$49),"")</f>
        <v/>
      </c>
      <c r="E48" s="19" t="s">
        <v>66</v>
      </c>
      <c r="F48" s="20"/>
      <c r="G48" s="26"/>
      <c r="H48" s="3"/>
      <c r="I48" s="3" t="s">
        <v>54</v>
      </c>
      <c r="J48" s="27" t="s">
        <v>55</v>
      </c>
      <c r="K48" s="23"/>
      <c r="L48" s="24"/>
    </row>
    <row r="49" ht="21.75" customHeight="1">
      <c r="A49" s="3"/>
      <c r="B49" s="32"/>
      <c r="C49" s="17" t="s">
        <v>73</v>
      </c>
      <c r="D49" s="18" t="str">
        <f>IF(ISNUMBER($B$49),IF(OR($J$49="",$J$49=0),$B$49*1.1,ROUNDDOWN($B$49*1.1/$J$49,0)*$J$49),"")</f>
        <v/>
      </c>
      <c r="E49" s="19" t="s">
        <v>74</v>
      </c>
      <c r="F49" s="20"/>
      <c r="G49" s="26"/>
      <c r="H49" s="3"/>
      <c r="I49" s="3" t="s">
        <v>58</v>
      </c>
      <c r="J49" s="29"/>
      <c r="K49" s="29" t="s">
        <v>59</v>
      </c>
      <c r="L49" s="29"/>
    </row>
    <row r="50" ht="27.75" customHeight="1">
      <c r="A50" s="3"/>
      <c r="B50" s="26"/>
      <c r="C50" s="17"/>
      <c r="D50" s="18"/>
      <c r="E50" s="19"/>
      <c r="F50" s="20"/>
      <c r="G50" s="26"/>
      <c r="H50" s="3"/>
      <c r="I50" s="30" t="s">
        <v>61</v>
      </c>
    </row>
    <row r="51" ht="21.75" customHeight="1">
      <c r="A51" s="3"/>
      <c r="B51" s="25"/>
      <c r="C51" s="17"/>
      <c r="D51" s="18"/>
      <c r="E51" s="19"/>
      <c r="F51" s="20"/>
      <c r="G51" s="25"/>
      <c r="H51" s="3"/>
      <c r="I51" s="31" t="s">
        <v>164</v>
      </c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5.5" customHeight="1">
      <c r="A54" s="3"/>
      <c r="B54" s="33" t="s">
        <v>82</v>
      </c>
      <c r="C54" s="23"/>
      <c r="D54" s="23"/>
      <c r="E54" s="24"/>
      <c r="F54" s="33" t="s">
        <v>83</v>
      </c>
      <c r="G54" s="24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J40:L40"/>
    <mergeCell ref="I42:L42"/>
    <mergeCell ref="I43:L43"/>
    <mergeCell ref="I46:L46"/>
    <mergeCell ref="J47:L47"/>
    <mergeCell ref="J48:L48"/>
    <mergeCell ref="I50:L50"/>
    <mergeCell ref="I51:L51"/>
    <mergeCell ref="G30:G35"/>
    <mergeCell ref="I30:L30"/>
    <mergeCell ref="J31:L31"/>
    <mergeCell ref="J32:L32"/>
    <mergeCell ref="I34:L34"/>
    <mergeCell ref="I35:L35"/>
    <mergeCell ref="B36:G36"/>
    <mergeCell ref="B49:B51"/>
    <mergeCell ref="B54:E54"/>
    <mergeCell ref="F54:G54"/>
    <mergeCell ref="B33:B35"/>
    <mergeCell ref="B38:B39"/>
    <mergeCell ref="G38:G43"/>
    <mergeCell ref="B41:B43"/>
    <mergeCell ref="B44:G44"/>
    <mergeCell ref="B46:B47"/>
    <mergeCell ref="G46:G51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54">
      <formula1>"Não,Sim"</formula1>
    </dataValidation>
    <dataValidation type="list" allowBlank="1" sqref="J7 J15 J23 J31 J39 J47">
      <formula1>"Máquina,Polia,Halter,Barra / smith"</formula1>
    </dataValidation>
    <dataValidation type="decimal" operator="greaterThanOrEqual" allowBlank="1" sqref="B9 F6:F9 J9 L9 B17 J17 L17 F14:F18 B25 J25 L25 F22:F27 B33 F30:F33 J33 L33 B41 J41 L41 F38:F42 B49 F46:F49 J49 L49">
      <formula1>0.0</formula1>
    </dataValidation>
    <dataValidation type="list" allowBlank="1" sqref="J8 J16 J24 J32 J40 J48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.25"/>
    <col customWidth="1" min="2" max="2" width="29.0"/>
    <col customWidth="1" min="3" max="3" width="20.0"/>
    <col customWidth="1" min="4" max="4" width="10.0"/>
    <col customWidth="1" min="5" max="5" width="12.0"/>
    <col customWidth="1" min="6" max="6" width="8.0"/>
    <col customWidth="1" min="7" max="7" width="9.0"/>
    <col customWidth="1" min="8" max="8" width="3.0"/>
    <col customWidth="1" min="9" max="9" width="20.0"/>
    <col customWidth="1" min="10" max="10" width="18.0"/>
    <col customWidth="1" min="11" max="11" width="15.0"/>
    <col customWidth="1" min="12" max="12" width="12.0"/>
    <col customWidth="1" min="13" max="26" width="8.63"/>
  </cols>
  <sheetData>
    <row r="1" ht="22.5" customHeight="1">
      <c r="A1" s="3"/>
      <c r="B1" s="11" t="s">
        <v>165</v>
      </c>
      <c r="H1" s="3"/>
      <c r="I1" s="12" t="s">
        <v>35</v>
      </c>
    </row>
    <row r="2" ht="22.5" customHeight="1">
      <c r="A2" s="3"/>
      <c r="H2" s="3"/>
    </row>
    <row r="3" ht="21.75" customHeight="1">
      <c r="A3" s="3"/>
      <c r="B3" s="13" t="s">
        <v>142</v>
      </c>
      <c r="H3" s="3"/>
      <c r="I3" s="9" t="s">
        <v>37</v>
      </c>
    </row>
    <row r="4" ht="21.75" customHeight="1">
      <c r="A4" s="3"/>
      <c r="B4" s="14" t="s">
        <v>38</v>
      </c>
      <c r="H4" s="3"/>
    </row>
    <row r="5" ht="21.75" customHeight="1">
      <c r="A5" s="3"/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H5" s="3"/>
      <c r="I5" s="3"/>
      <c r="J5" s="3"/>
      <c r="K5" s="3"/>
      <c r="L5" s="3"/>
    </row>
    <row r="6" ht="30.0" customHeight="1">
      <c r="A6" s="3"/>
      <c r="B6" s="16" t="s">
        <v>112</v>
      </c>
      <c r="C6" s="17" t="s">
        <v>46</v>
      </c>
      <c r="D6" s="18" t="str">
        <f>IF(ISNUMBER($B$9),IF(OR($J$9="",$J$9=0),$B$9*0.3,ROUNDDOWN($B$9*0.3/$J$9,0)*$J$9),"")</f>
        <v/>
      </c>
      <c r="E6" s="19" t="s">
        <v>47</v>
      </c>
      <c r="F6" s="20"/>
      <c r="G6" s="21" t="str">
        <f>HYPERLINK("https://www.youtube.com/shorts/N_K2ZSCvl84","Link")</f>
        <v>Link</v>
      </c>
      <c r="H6" s="3"/>
      <c r="I6" s="22" t="s">
        <v>112</v>
      </c>
      <c r="J6" s="23"/>
      <c r="K6" s="23"/>
      <c r="L6" s="24"/>
    </row>
    <row r="7" ht="21.75" customHeight="1">
      <c r="A7" s="3"/>
      <c r="B7" s="25"/>
      <c r="C7" s="17" t="s">
        <v>48</v>
      </c>
      <c r="D7" s="18" t="str">
        <f>IF(ISNUMBER($B$9),IF(OR($J$9="",$J$9=0),$B$9*0.7,ROUNDDOWN($B$9*0.7/$J$9,0)*$J$9),"")</f>
        <v/>
      </c>
      <c r="E7" s="19" t="s">
        <v>49</v>
      </c>
      <c r="F7" s="20"/>
      <c r="G7" s="26"/>
      <c r="H7" s="3"/>
      <c r="I7" s="3" t="s">
        <v>50</v>
      </c>
      <c r="J7" s="27" t="s">
        <v>92</v>
      </c>
      <c r="K7" s="23"/>
      <c r="L7" s="24"/>
    </row>
    <row r="8" ht="24.75" customHeight="1">
      <c r="A8" s="3"/>
      <c r="B8" s="15" t="s">
        <v>52</v>
      </c>
      <c r="C8" s="17" t="s">
        <v>53</v>
      </c>
      <c r="D8" s="18" t="str">
        <f>IF(ISNUMBER($B$9),IF(OR($J$9="",$J$9=0),$B$9*0.85,ROUNDDOWN($B$9*0.85/$J$9,0)*$J$9),"")</f>
        <v/>
      </c>
      <c r="E8" s="19" t="s">
        <v>49</v>
      </c>
      <c r="F8" s="20"/>
      <c r="G8" s="26"/>
      <c r="H8" s="3"/>
      <c r="I8" s="3" t="s">
        <v>54</v>
      </c>
      <c r="J8" s="27" t="s">
        <v>93</v>
      </c>
      <c r="K8" s="23"/>
      <c r="L8" s="24"/>
    </row>
    <row r="9" ht="21.75" customHeight="1">
      <c r="A9" s="3"/>
      <c r="B9" s="32"/>
      <c r="C9" s="17" t="s">
        <v>56</v>
      </c>
      <c r="D9" s="18" t="str">
        <f t="shared" ref="D9:D11" si="1">IF(ISNUMBER($B$9),IF(OR($J$9="",$J$9=0),$B$9*1,ROUNDDOWN($B$9*1/$J$9,0)*$J$9),"")</f>
        <v/>
      </c>
      <c r="E9" s="19" t="s">
        <v>57</v>
      </c>
      <c r="F9" s="20"/>
      <c r="G9" s="26"/>
      <c r="H9" s="3"/>
      <c r="I9" s="3" t="s">
        <v>58</v>
      </c>
      <c r="J9" s="29"/>
      <c r="K9" s="29" t="s">
        <v>59</v>
      </c>
      <c r="L9" s="29"/>
    </row>
    <row r="10" ht="27.75" customHeight="1">
      <c r="A10" s="3"/>
      <c r="B10" s="26"/>
      <c r="C10" s="17" t="s">
        <v>60</v>
      </c>
      <c r="D10" s="18" t="str">
        <f t="shared" si="1"/>
        <v/>
      </c>
      <c r="E10" s="19" t="s">
        <v>57</v>
      </c>
      <c r="F10" s="20"/>
      <c r="G10" s="26"/>
      <c r="H10" s="3"/>
      <c r="I10" s="30" t="s">
        <v>61</v>
      </c>
    </row>
    <row r="11" ht="21.75" customHeight="1">
      <c r="A11" s="3"/>
      <c r="B11" s="25"/>
      <c r="C11" s="17" t="s">
        <v>62</v>
      </c>
      <c r="D11" s="18" t="str">
        <f t="shared" si="1"/>
        <v/>
      </c>
      <c r="E11" s="19" t="s">
        <v>57</v>
      </c>
      <c r="F11" s="20"/>
      <c r="G11" s="25"/>
      <c r="H11" s="3"/>
      <c r="I11" s="31" t="s">
        <v>158</v>
      </c>
    </row>
    <row r="12" ht="31.5" customHeight="1">
      <c r="A12" s="3"/>
      <c r="B12" s="30" t="s">
        <v>114</v>
      </c>
      <c r="H12" s="3"/>
      <c r="I12" s="3"/>
      <c r="J12" s="3"/>
      <c r="K12" s="3"/>
      <c r="L12" s="3"/>
    </row>
    <row r="13" ht="21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30.0" customHeight="1">
      <c r="A14" s="3"/>
      <c r="B14" s="16" t="s">
        <v>115</v>
      </c>
      <c r="C14" s="17" t="s">
        <v>48</v>
      </c>
      <c r="D14" s="18" t="str">
        <f>IF(ISNUMBER($B$17),IF(OR($J$17="",$J$17=0),$B$17*0.7,ROUNDDOWN($B$17*0.7/$J$17,0)*$J$17),"")</f>
        <v/>
      </c>
      <c r="E14" s="19" t="s">
        <v>49</v>
      </c>
      <c r="F14" s="20"/>
      <c r="G14" s="21" t="str">
        <f>HYPERLINK("https://www.youtube.com/watch?v=yVGjnrMeSyU","Link")</f>
        <v>Link</v>
      </c>
      <c r="H14" s="3"/>
      <c r="I14" s="22" t="s">
        <v>115</v>
      </c>
      <c r="J14" s="23"/>
      <c r="K14" s="23"/>
      <c r="L14" s="24"/>
    </row>
    <row r="15" ht="21.75" customHeight="1">
      <c r="A15" s="3"/>
      <c r="B15" s="25"/>
      <c r="C15" s="17" t="s">
        <v>53</v>
      </c>
      <c r="D15" s="18" t="str">
        <f>IF(ISNUMBER($B$17),IF(OR($J$17="",$J$17=0),$B$17*0.85,ROUNDDOWN($B$17*0.85/$J$17,0)*$J$17),"")</f>
        <v/>
      </c>
      <c r="E15" s="19" t="s">
        <v>49</v>
      </c>
      <c r="F15" s="20"/>
      <c r="G15" s="26"/>
      <c r="H15" s="3"/>
      <c r="I15" s="3" t="s">
        <v>50</v>
      </c>
      <c r="J15" s="27" t="s">
        <v>96</v>
      </c>
      <c r="K15" s="23"/>
      <c r="L15" s="24"/>
    </row>
    <row r="16" ht="24.75" customHeight="1">
      <c r="A16" s="3"/>
      <c r="B16" s="15" t="s">
        <v>52</v>
      </c>
      <c r="C16" s="17" t="s">
        <v>56</v>
      </c>
      <c r="D16" s="18" t="str">
        <f t="shared" ref="D16:D17" si="2">IF(ISNUMBER($B$17),IF(OR($J$17="",$J$17=0),$B$17*1,ROUNDDOWN($B$17*1/$J$17,0)*$J$17),"")</f>
        <v/>
      </c>
      <c r="E16" s="19" t="s">
        <v>66</v>
      </c>
      <c r="F16" s="20"/>
      <c r="G16" s="26"/>
      <c r="H16" s="3"/>
      <c r="I16" s="3" t="s">
        <v>54</v>
      </c>
      <c r="J16" s="27" t="s">
        <v>55</v>
      </c>
      <c r="K16" s="23"/>
      <c r="L16" s="24"/>
    </row>
    <row r="17" ht="21.75" customHeight="1">
      <c r="A17" s="3"/>
      <c r="B17" s="32"/>
      <c r="C17" s="17" t="s">
        <v>60</v>
      </c>
      <c r="D17" s="18" t="str">
        <f t="shared" si="2"/>
        <v/>
      </c>
      <c r="E17" s="19" t="s">
        <v>66</v>
      </c>
      <c r="F17" s="20"/>
      <c r="G17" s="26"/>
      <c r="H17" s="3"/>
      <c r="I17" s="3" t="s">
        <v>58</v>
      </c>
      <c r="J17" s="29"/>
      <c r="K17" s="29" t="s">
        <v>59</v>
      </c>
      <c r="L17" s="29"/>
    </row>
    <row r="18" ht="27.75" customHeight="1">
      <c r="A18" s="3"/>
      <c r="B18" s="26"/>
      <c r="C18" s="17" t="s">
        <v>89</v>
      </c>
      <c r="D18" s="18" t="str">
        <f>IF(ISNUMBER($B$17),IF(OR($J$17="",$J$17=0),$B$17*0.75,ROUNDDOWN($B$17*0.75/$J$17,0)*$J$17),"")</f>
        <v/>
      </c>
      <c r="E18" s="19" t="s">
        <v>57</v>
      </c>
      <c r="F18" s="20"/>
      <c r="G18" s="26"/>
      <c r="H18" s="3"/>
      <c r="I18" s="30" t="s">
        <v>61</v>
      </c>
    </row>
    <row r="19" ht="21.75" customHeight="1">
      <c r="A19" s="3"/>
      <c r="B19" s="25"/>
      <c r="C19" s="17"/>
      <c r="D19" s="18"/>
      <c r="E19" s="19"/>
      <c r="F19" s="20"/>
      <c r="G19" s="25"/>
      <c r="H19" s="3"/>
      <c r="I19" s="31" t="s">
        <v>158</v>
      </c>
    </row>
    <row r="20" ht="31.5" customHeight="1">
      <c r="A20" s="3"/>
      <c r="B20" s="30" t="s">
        <v>116</v>
      </c>
      <c r="H20" s="3"/>
      <c r="I20" s="3"/>
      <c r="J20" s="3"/>
      <c r="K20" s="3"/>
      <c r="L20" s="3"/>
    </row>
    <row r="21" ht="21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30.0" customHeight="1">
      <c r="A22" s="3"/>
      <c r="B22" s="16" t="s">
        <v>95</v>
      </c>
      <c r="C22" s="17" t="s">
        <v>48</v>
      </c>
      <c r="D22" s="18" t="str">
        <f>IF(ISNUMBER($B$25),IF(OR($J$25="",$J$25=0),$B$25*0.7,ROUNDDOWN($B$25*0.7/$J$25,0)*$J$25),"")</f>
        <v/>
      </c>
      <c r="E22" s="19" t="s">
        <v>49</v>
      </c>
      <c r="F22" s="20"/>
      <c r="G22" s="21" t="str">
        <f>HYPERLINK("https://www.youtube.com/watch?v=gnKmUlTOaCw","Link")</f>
        <v>Link</v>
      </c>
      <c r="H22" s="3"/>
      <c r="I22" s="22" t="s">
        <v>95</v>
      </c>
      <c r="J22" s="23"/>
      <c r="K22" s="23"/>
      <c r="L22" s="24"/>
    </row>
    <row r="23" ht="21.75" customHeight="1">
      <c r="A23" s="3"/>
      <c r="B23" s="25"/>
      <c r="C23" s="17" t="s">
        <v>53</v>
      </c>
      <c r="D23" s="18" t="str">
        <f>IF(ISNUMBER($B$25),IF(OR($J$25="",$J$25=0),$B$25*0.85,ROUNDDOWN($B$25*0.85/$J$25,0)*$J$25),"")</f>
        <v/>
      </c>
      <c r="E23" s="19" t="s">
        <v>49</v>
      </c>
      <c r="F23" s="20"/>
      <c r="G23" s="26"/>
      <c r="H23" s="3"/>
      <c r="I23" s="3" t="s">
        <v>50</v>
      </c>
      <c r="J23" s="27" t="s">
        <v>51</v>
      </c>
      <c r="K23" s="23"/>
      <c r="L23" s="24"/>
    </row>
    <row r="24" ht="24.75" customHeight="1">
      <c r="A24" s="3"/>
      <c r="B24" s="15" t="s">
        <v>52</v>
      </c>
      <c r="C24" s="17" t="s">
        <v>56</v>
      </c>
      <c r="D24" s="18" t="str">
        <f>IF(ISNUMBER($B$25),IF(OR($J$25="",$J$25=0),$B$25*1,ROUNDDOWN($B$25*1/$J$25,0)*$J$25),"")</f>
        <v/>
      </c>
      <c r="E24" s="19" t="s">
        <v>66</v>
      </c>
      <c r="F24" s="20"/>
      <c r="G24" s="26"/>
      <c r="H24" s="3"/>
      <c r="I24" s="3" t="s">
        <v>54</v>
      </c>
      <c r="J24" s="27" t="s">
        <v>76</v>
      </c>
      <c r="K24" s="23"/>
      <c r="L24" s="24"/>
    </row>
    <row r="25" ht="21.75" customHeight="1">
      <c r="A25" s="3"/>
      <c r="B25" s="32"/>
      <c r="C25" s="17" t="s">
        <v>73</v>
      </c>
      <c r="D25" s="18" t="str">
        <f>IF(ISNUMBER($B$25),IF(OR($J$25="",$J$25=0),$B$25*1.1,ROUNDDOWN($B$25*1.1/$J$25,0)*$J$25),"")</f>
        <v/>
      </c>
      <c r="E25" s="19" t="s">
        <v>74</v>
      </c>
      <c r="F25" s="20"/>
      <c r="G25" s="26"/>
      <c r="H25" s="3"/>
      <c r="I25" s="3" t="s">
        <v>58</v>
      </c>
      <c r="J25" s="29"/>
      <c r="K25" s="29" t="s">
        <v>59</v>
      </c>
      <c r="L25" s="29"/>
    </row>
    <row r="26" ht="27.75" customHeight="1">
      <c r="A26" s="3"/>
      <c r="B26" s="26"/>
      <c r="C26" s="17"/>
      <c r="D26" s="18"/>
      <c r="E26" s="19"/>
      <c r="F26" s="20"/>
      <c r="G26" s="26"/>
      <c r="H26" s="3"/>
      <c r="I26" s="30" t="s">
        <v>61</v>
      </c>
    </row>
    <row r="27" ht="21.75" customHeight="1">
      <c r="A27" s="3"/>
      <c r="B27" s="25"/>
      <c r="C27" s="17"/>
      <c r="D27" s="18"/>
      <c r="E27" s="19"/>
      <c r="F27" s="20"/>
      <c r="G27" s="25"/>
      <c r="H27" s="3"/>
      <c r="I27" s="31" t="s">
        <v>158</v>
      </c>
    </row>
    <row r="28" ht="31.5" customHeight="1">
      <c r="A28" s="3"/>
      <c r="B28" s="30" t="s">
        <v>97</v>
      </c>
      <c r="H28" s="3"/>
      <c r="I28" s="3"/>
      <c r="J28" s="3"/>
      <c r="K28" s="3"/>
      <c r="L28" s="3"/>
    </row>
    <row r="29" ht="21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30.0" customHeight="1">
      <c r="A30" s="3"/>
      <c r="B30" s="16" t="s">
        <v>117</v>
      </c>
      <c r="C30" s="17" t="s">
        <v>48</v>
      </c>
      <c r="D30" s="18" t="str">
        <f>IF(ISNUMBER($B$33),IF(OR($J$33="",$J$33=0),$B$33*0.85,ROUNDDOWN($B$33*0.85/$J$33,0)*$J$33),"")</f>
        <v/>
      </c>
      <c r="E30" s="19" t="s">
        <v>49</v>
      </c>
      <c r="F30" s="20"/>
      <c r="G30" s="21" t="str">
        <f>HYPERLINK("https://www.youtube.com/watch?v=BH9jVp2cx3w","Link")</f>
        <v>Link</v>
      </c>
      <c r="H30" s="3"/>
      <c r="I30" s="22" t="s">
        <v>117</v>
      </c>
      <c r="J30" s="23"/>
      <c r="K30" s="23"/>
      <c r="L30" s="24"/>
    </row>
    <row r="31" ht="21.75" customHeight="1">
      <c r="A31" s="3"/>
      <c r="B31" s="25"/>
      <c r="C31" s="17" t="s">
        <v>56</v>
      </c>
      <c r="D31" s="18" t="str">
        <f t="shared" ref="D31:D33" si="3">IF(ISNUMBER($B$33),IF(OR($J$33="",$J$33=0),$B$33*1,ROUNDDOWN($B$33*1/$J$33,0)*$J$33),"")</f>
        <v/>
      </c>
      <c r="E31" s="19" t="s">
        <v>57</v>
      </c>
      <c r="F31" s="20"/>
      <c r="G31" s="26"/>
      <c r="H31" s="3"/>
      <c r="I31" s="3" t="s">
        <v>50</v>
      </c>
      <c r="J31" s="27" t="s">
        <v>96</v>
      </c>
      <c r="K31" s="23"/>
      <c r="L31" s="24"/>
    </row>
    <row r="32" ht="24.75" customHeight="1">
      <c r="A32" s="3"/>
      <c r="B32" s="15" t="s">
        <v>52</v>
      </c>
      <c r="C32" s="17" t="s">
        <v>60</v>
      </c>
      <c r="D32" s="18" t="str">
        <f t="shared" si="3"/>
        <v/>
      </c>
      <c r="E32" s="19" t="s">
        <v>57</v>
      </c>
      <c r="F32" s="20"/>
      <c r="G32" s="26"/>
      <c r="H32" s="3"/>
      <c r="I32" s="3" t="s">
        <v>54</v>
      </c>
      <c r="J32" s="27" t="s">
        <v>55</v>
      </c>
      <c r="K32" s="23"/>
      <c r="L32" s="24"/>
    </row>
    <row r="33" ht="21.75" customHeight="1">
      <c r="A33" s="3"/>
      <c r="B33" s="32"/>
      <c r="C33" s="17" t="s">
        <v>62</v>
      </c>
      <c r="D33" s="18" t="str">
        <f t="shared" si="3"/>
        <v/>
      </c>
      <c r="E33" s="19" t="s">
        <v>57</v>
      </c>
      <c r="F33" s="20"/>
      <c r="G33" s="26"/>
      <c r="H33" s="3"/>
      <c r="I33" s="3" t="s">
        <v>58</v>
      </c>
      <c r="J33" s="29"/>
      <c r="K33" s="29" t="s">
        <v>59</v>
      </c>
      <c r="L33" s="29"/>
    </row>
    <row r="34" ht="27.75" customHeight="1">
      <c r="A34" s="3"/>
      <c r="B34" s="26"/>
      <c r="C34" s="17"/>
      <c r="D34" s="18"/>
      <c r="E34" s="19"/>
      <c r="F34" s="20"/>
      <c r="G34" s="26"/>
      <c r="H34" s="3"/>
      <c r="I34" s="30" t="s">
        <v>61</v>
      </c>
    </row>
    <row r="35" ht="21.75" customHeight="1">
      <c r="A35" s="3"/>
      <c r="B35" s="25"/>
      <c r="C35" s="17"/>
      <c r="D35" s="18"/>
      <c r="E35" s="19"/>
      <c r="F35" s="20"/>
      <c r="G35" s="25"/>
      <c r="H35" s="3"/>
      <c r="I35" s="31" t="s">
        <v>158</v>
      </c>
    </row>
    <row r="36" ht="31.5" customHeight="1">
      <c r="A36" s="3"/>
      <c r="B36" s="30" t="s">
        <v>118</v>
      </c>
      <c r="H36" s="3"/>
      <c r="I36" s="3"/>
      <c r="J36" s="3"/>
      <c r="K36" s="3"/>
      <c r="L36" s="3"/>
    </row>
    <row r="37" ht="21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30.0" customHeight="1">
      <c r="A38" s="3"/>
      <c r="B38" s="16" t="s">
        <v>102</v>
      </c>
      <c r="C38" s="17" t="s">
        <v>48</v>
      </c>
      <c r="D38" s="18" t="str">
        <f>IF(ISNUMBER($B$41),IF(OR($J$41="",$J$41=0),$B$41*0.85,ROUNDDOWN($B$41*0.85/$J$41,0)*$J$41),"")</f>
        <v/>
      </c>
      <c r="E38" s="19" t="s">
        <v>49</v>
      </c>
      <c r="F38" s="20"/>
      <c r="G38" s="21" t="str">
        <f>HYPERLINK("https://www.youtube.com/watch?v=9cmeOVHOjck","Link")</f>
        <v>Link</v>
      </c>
      <c r="H38" s="3"/>
      <c r="I38" s="22" t="s">
        <v>102</v>
      </c>
      <c r="J38" s="23"/>
      <c r="K38" s="23"/>
      <c r="L38" s="24"/>
    </row>
    <row r="39" ht="21.75" customHeight="1">
      <c r="A39" s="3"/>
      <c r="B39" s="25"/>
      <c r="C39" s="17" t="s">
        <v>56</v>
      </c>
      <c r="D39" s="18" t="str">
        <f t="shared" ref="D39:D41" si="4">IF(ISNUMBER($B$41),IF(OR($J$41="",$J$41=0),$B$41*1,ROUNDDOWN($B$41*1/$J$41,0)*$J$41),"")</f>
        <v/>
      </c>
      <c r="E39" s="19" t="s">
        <v>57</v>
      </c>
      <c r="F39" s="20"/>
      <c r="G39" s="26"/>
      <c r="H39" s="3"/>
      <c r="I39" s="3" t="s">
        <v>50</v>
      </c>
      <c r="J39" s="27" t="s">
        <v>96</v>
      </c>
      <c r="K39" s="23"/>
      <c r="L39" s="24"/>
    </row>
    <row r="40" ht="24.75" customHeight="1">
      <c r="A40" s="3"/>
      <c r="B40" s="15" t="s">
        <v>52</v>
      </c>
      <c r="C40" s="17" t="s">
        <v>60</v>
      </c>
      <c r="D40" s="18" t="str">
        <f t="shared" si="4"/>
        <v/>
      </c>
      <c r="E40" s="19" t="s">
        <v>57</v>
      </c>
      <c r="F40" s="20"/>
      <c r="G40" s="26"/>
      <c r="H40" s="3"/>
      <c r="I40" s="3" t="s">
        <v>54</v>
      </c>
      <c r="J40" s="27" t="s">
        <v>55</v>
      </c>
      <c r="K40" s="23"/>
      <c r="L40" s="24"/>
    </row>
    <row r="41" ht="21.75" customHeight="1">
      <c r="A41" s="3"/>
      <c r="B41" s="32"/>
      <c r="C41" s="17" t="s">
        <v>62</v>
      </c>
      <c r="D41" s="18" t="str">
        <f t="shared" si="4"/>
        <v/>
      </c>
      <c r="E41" s="19" t="s">
        <v>57</v>
      </c>
      <c r="F41" s="20"/>
      <c r="G41" s="26"/>
      <c r="H41" s="3"/>
      <c r="I41" s="3" t="s">
        <v>58</v>
      </c>
      <c r="J41" s="29"/>
      <c r="K41" s="29" t="s">
        <v>59</v>
      </c>
      <c r="L41" s="29"/>
    </row>
    <row r="42" ht="27.75" customHeight="1">
      <c r="A42" s="3"/>
      <c r="B42" s="26"/>
      <c r="C42" s="17"/>
      <c r="D42" s="18"/>
      <c r="E42" s="19"/>
      <c r="F42" s="20"/>
      <c r="G42" s="26"/>
      <c r="H42" s="3"/>
      <c r="I42" s="30" t="s">
        <v>61</v>
      </c>
    </row>
    <row r="43" ht="21.75" customHeight="1">
      <c r="A43" s="3"/>
      <c r="B43" s="25"/>
      <c r="C43" s="17"/>
      <c r="D43" s="18"/>
      <c r="E43" s="19"/>
      <c r="F43" s="20"/>
      <c r="G43" s="25"/>
      <c r="H43" s="3"/>
      <c r="I43" s="31" t="s">
        <v>158</v>
      </c>
    </row>
    <row r="44" ht="21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1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25.5" customHeight="1">
      <c r="A46" s="3"/>
      <c r="B46" s="33" t="s">
        <v>82</v>
      </c>
      <c r="C46" s="23"/>
      <c r="D46" s="23"/>
      <c r="E46" s="24"/>
      <c r="F46" s="33" t="s">
        <v>83</v>
      </c>
      <c r="G46" s="24"/>
      <c r="H46" s="3"/>
      <c r="I46" s="3"/>
      <c r="J46" s="3"/>
      <c r="K46" s="3"/>
      <c r="L46" s="3"/>
    </row>
    <row r="47" ht="21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21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21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21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21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21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21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21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21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21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21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21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21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21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21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21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21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21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21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21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21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21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21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1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21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21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21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21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21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I18:L18"/>
    <mergeCell ref="I22:L22"/>
    <mergeCell ref="I10:L10"/>
    <mergeCell ref="I11:L11"/>
    <mergeCell ref="G14:G19"/>
    <mergeCell ref="I14:L14"/>
    <mergeCell ref="J15:L15"/>
    <mergeCell ref="J16:L16"/>
    <mergeCell ref="G22:G27"/>
    <mergeCell ref="B33:B35"/>
    <mergeCell ref="B38:B39"/>
    <mergeCell ref="G38:G43"/>
    <mergeCell ref="B41:B43"/>
    <mergeCell ref="B46:E46"/>
    <mergeCell ref="F46:G46"/>
    <mergeCell ref="J40:L40"/>
    <mergeCell ref="I42:L42"/>
    <mergeCell ref="I43:L43"/>
    <mergeCell ref="G30:G35"/>
    <mergeCell ref="I30:L30"/>
    <mergeCell ref="J31:L31"/>
    <mergeCell ref="J32:L32"/>
    <mergeCell ref="I34:L34"/>
    <mergeCell ref="I35:L35"/>
    <mergeCell ref="B36:G36"/>
    <mergeCell ref="I6:L6"/>
    <mergeCell ref="J7:L7"/>
    <mergeCell ref="B1:G2"/>
    <mergeCell ref="I1:L2"/>
    <mergeCell ref="B3:G3"/>
    <mergeCell ref="I3:L4"/>
    <mergeCell ref="B4:G4"/>
    <mergeCell ref="G6:G11"/>
    <mergeCell ref="J8:L8"/>
    <mergeCell ref="B12:G12"/>
    <mergeCell ref="I19:L19"/>
    <mergeCell ref="B20:G20"/>
    <mergeCell ref="J23:L23"/>
    <mergeCell ref="J24:L24"/>
    <mergeCell ref="I26:L26"/>
    <mergeCell ref="I27:L27"/>
    <mergeCell ref="B28:G28"/>
    <mergeCell ref="B6:B7"/>
    <mergeCell ref="B9:B11"/>
    <mergeCell ref="B14:B15"/>
    <mergeCell ref="B17:B19"/>
    <mergeCell ref="B22:B23"/>
    <mergeCell ref="B25:B27"/>
    <mergeCell ref="B30:B31"/>
    <mergeCell ref="I38:L38"/>
    <mergeCell ref="J39:L39"/>
  </mergeCells>
  <dataValidations>
    <dataValidation type="list" allowBlank="1" sqref="F46">
      <formula1>"Não,Sim"</formula1>
    </dataValidation>
    <dataValidation type="list" allowBlank="1" sqref="J7 J15 J23 J31 J39">
      <formula1>"Máquina,Polia,Halter,Barra / smith"</formula1>
    </dataValidation>
    <dataValidation type="decimal" operator="greaterThanOrEqual" allowBlank="1" sqref="B9 J9 L9 F6:F11 B17 J17 L17 F14:F18 B25 F22:F25 J25 L25 B33 F30:F33 J33 L33 B41 F38:F41 J41 L41">
      <formula1>0.0</formula1>
    </dataValidation>
    <dataValidation type="list" allowBlank="1" sqref="J8 J16 J24 J32 J40">
      <formula1>"Por halter,Por lado,Visor / pilha,Total com barra,Total de anilhas"</formula1>
    </dataValidation>
  </dataValidations>
  <printOptions/>
  <pageMargins bottom="0.75" footer="0.0" header="0.0" left="0.7" right="0.7" top="0.75"/>
  <pageSetup paperSize="9" orientation="portrait"/>
  <drawing r:id="rId1"/>
</worksheet>
</file>